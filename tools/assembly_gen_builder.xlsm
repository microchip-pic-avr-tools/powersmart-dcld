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E598EA7E-0A80-47EB-8366-CE3DC998F265}" xr6:coauthVersionLast="45" xr6:coauthVersionMax="45" xr10:uidLastSave="{00000000-0000-0000-0000-000000000000}"/>
  <bookViews>
    <workbookView xWindow="-28920" yWindow="-120" windowWidth="29040" windowHeight="15990" tabRatio="873" firstSheet="1" activeTab="11" xr2:uid="{0E4D31C7-86C5-47A9-BBFE-D56E7B1CCAC2}"/>
  </bookViews>
  <sheets>
    <sheet name="PreText" sheetId="12" r:id="rId1"/>
    <sheet name="tokens" sheetId="13" r:id="rId2"/>
    <sheet name="add_data_structure_sbsft" sheetId="4" r:id="rId3"/>
    <sheet name="blockset_sbsft_0" sheetId="2" r:id="rId4"/>
    <sheet name="blockset_sbsft_1" sheetId="3" r:id="rId5"/>
    <sheet name="add_data_structure_scscl" sheetId="6" r:id="rId6"/>
    <sheet name="blockset_scscl_0" sheetId="5" r:id="rId7"/>
    <sheet name="add_data_structure_dbsft" sheetId="8" r:id="rId8"/>
    <sheet name="blockset_dbsft_0" sheetId="7" r:id="rId9"/>
    <sheet name="add_data_structure_fscl" sheetId="11" r:id="rId10"/>
    <sheet name="blockset_fscl_0" sheetId="9" r:id="rId11"/>
    <sheet name="ASM_blocks" sheetId="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7" i="4" l="1"/>
  <c r="C88" i="4"/>
  <c r="C86" i="4"/>
  <c r="C6" i="2" l="1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7" i="2"/>
  <c r="E146" i="2"/>
  <c r="E145" i="2"/>
  <c r="E143" i="2"/>
  <c r="E118" i="2"/>
  <c r="E117" i="2"/>
  <c r="E122" i="2"/>
  <c r="E121" i="2"/>
  <c r="E120" i="2"/>
  <c r="E119" i="2"/>
  <c r="E125" i="2"/>
  <c r="E115" i="2"/>
  <c r="E114" i="2"/>
  <c r="E113" i="2"/>
  <c r="E112" i="2"/>
  <c r="E111" i="2"/>
  <c r="E110" i="2"/>
  <c r="E109" i="2"/>
  <c r="E108" i="2"/>
  <c r="E107" i="2"/>
  <c r="E106" i="2"/>
  <c r="E10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4" i="2"/>
  <c r="E51" i="2"/>
  <c r="E50" i="2"/>
  <c r="E48" i="2"/>
  <c r="E57" i="2"/>
  <c r="E63" i="2"/>
  <c r="E60" i="2"/>
  <c r="E59" i="2"/>
  <c r="E64" i="2"/>
  <c r="E85" i="2"/>
  <c r="E82" i="2"/>
  <c r="E81" i="2"/>
  <c r="E80" i="2"/>
  <c r="E79" i="2"/>
  <c r="E78" i="2"/>
  <c r="E77" i="2"/>
  <c r="E76" i="2"/>
  <c r="E75" i="2"/>
  <c r="E74" i="2"/>
  <c r="E68" i="2"/>
  <c r="E67" i="2"/>
  <c r="E66" i="2"/>
  <c r="E62" i="2"/>
  <c r="E61" i="2"/>
  <c r="E58" i="2"/>
  <c r="E56" i="2"/>
  <c r="E55" i="2"/>
  <c r="E54" i="2"/>
  <c r="E53" i="2"/>
  <c r="E52" i="2"/>
  <c r="E49" i="2"/>
  <c r="E47" i="2"/>
  <c r="E38" i="2"/>
  <c r="E37" i="2"/>
  <c r="E36" i="2"/>
  <c r="E35" i="2"/>
  <c r="E33" i="2"/>
  <c r="E24" i="2"/>
  <c r="E23" i="2"/>
  <c r="E22" i="2"/>
  <c r="E21" i="2"/>
  <c r="E20" i="2"/>
  <c r="E19" i="2"/>
  <c r="E17" i="2"/>
  <c r="E15" i="2"/>
  <c r="C143" i="2" l="1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81" i="2" l="1"/>
  <c r="C80" i="2"/>
  <c r="C79" i="2"/>
  <c r="E83" i="2"/>
  <c r="C83" i="2" s="1"/>
  <c r="C78" i="2"/>
  <c r="C77" i="2"/>
  <c r="C76" i="2"/>
  <c r="C75" i="2"/>
  <c r="C74" i="2"/>
  <c r="C85" i="2"/>
  <c r="E86" i="2"/>
  <c r="C86" i="2" s="1"/>
  <c r="E16" i="2"/>
  <c r="C16" i="2" s="1"/>
  <c r="C68" i="2"/>
  <c r="C67" i="2"/>
  <c r="C66" i="2"/>
  <c r="C65" i="2"/>
  <c r="C62" i="2"/>
  <c r="C61" i="2"/>
  <c r="C64" i="2"/>
  <c r="C63" i="2"/>
  <c r="C60" i="2"/>
  <c r="C59" i="2"/>
  <c r="C58" i="2"/>
  <c r="C57" i="2"/>
  <c r="C55" i="2"/>
  <c r="C54" i="2"/>
  <c r="C53" i="2"/>
  <c r="C51" i="2"/>
  <c r="C50" i="2"/>
  <c r="C49" i="2"/>
  <c r="C48" i="2"/>
  <c r="C52" i="2"/>
  <c r="C56" i="2"/>
  <c r="E46" i="2"/>
  <c r="C46" i="2" s="1"/>
  <c r="C47" i="2"/>
  <c r="C161" i="2"/>
  <c r="C162" i="2"/>
  <c r="C160" i="2"/>
  <c r="C111" i="2"/>
  <c r="C112" i="2"/>
  <c r="C113" i="2"/>
  <c r="C114" i="2"/>
  <c r="C115" i="2"/>
  <c r="E116" i="2"/>
  <c r="C116" i="2" s="1"/>
  <c r="C117" i="2"/>
  <c r="C118" i="2"/>
  <c r="C119" i="2"/>
  <c r="C120" i="2"/>
  <c r="C121" i="2"/>
  <c r="C122" i="2"/>
  <c r="E123" i="2"/>
  <c r="C123" i="2" s="1"/>
  <c r="E124" i="2"/>
  <c r="C125" i="2"/>
  <c r="C144" i="2"/>
  <c r="C145" i="2"/>
  <c r="C146" i="2"/>
  <c r="C147" i="2"/>
  <c r="E148" i="2"/>
  <c r="C148" i="2" s="1"/>
  <c r="C149" i="2"/>
  <c r="C150" i="2"/>
  <c r="C151" i="2"/>
  <c r="C152" i="2"/>
  <c r="C153" i="2"/>
  <c r="C154" i="2"/>
  <c r="C155" i="2"/>
  <c r="C156" i="2"/>
  <c r="C157" i="2"/>
  <c r="C158" i="2"/>
  <c r="C110" i="2"/>
  <c r="C105" i="2"/>
  <c r="C106" i="2"/>
  <c r="C107" i="2"/>
  <c r="C108" i="2"/>
  <c r="E104" i="2"/>
  <c r="C104" i="2" s="1"/>
  <c r="C109" i="2"/>
  <c r="C159" i="2"/>
  <c r="C56" i="13"/>
  <c r="E84" i="2"/>
  <c r="C84" i="2" s="1"/>
  <c r="E73" i="2"/>
  <c r="C73" i="2" s="1"/>
  <c r="C38" i="2"/>
  <c r="C37" i="2"/>
  <c r="C36" i="2"/>
  <c r="C35" i="2"/>
  <c r="C33" i="2"/>
  <c r="C24" i="2"/>
  <c r="C23" i="2"/>
  <c r="C22" i="2"/>
  <c r="C21" i="2"/>
  <c r="C20" i="2"/>
  <c r="C19" i="2"/>
  <c r="E18" i="2"/>
  <c r="C18" i="2" s="1"/>
  <c r="C15" i="2"/>
  <c r="E14" i="2"/>
  <c r="C14" i="2" s="1"/>
  <c r="C17" i="2"/>
  <c r="C82" i="2"/>
  <c r="C22" i="13"/>
  <c r="C32" i="13"/>
  <c r="C40" i="13"/>
  <c r="C57" i="13"/>
  <c r="C54" i="13"/>
  <c r="C48" i="13"/>
  <c r="C44" i="13"/>
  <c r="C41" i="13"/>
  <c r="C31" i="13"/>
  <c r="C59" i="13"/>
  <c r="C58" i="13"/>
  <c r="C55" i="13"/>
  <c r="C53" i="13"/>
  <c r="C52" i="13"/>
  <c r="C51" i="13"/>
  <c r="C50" i="13"/>
  <c r="C49" i="13"/>
  <c r="C47" i="13"/>
  <c r="C46" i="13"/>
  <c r="C45" i="13"/>
  <c r="C43" i="13"/>
  <c r="C42" i="13"/>
  <c r="C39" i="13"/>
  <c r="C38" i="13"/>
  <c r="C37" i="13"/>
  <c r="C36" i="13"/>
  <c r="C35" i="13"/>
  <c r="C34" i="13"/>
  <c r="C33" i="13"/>
  <c r="C30" i="13"/>
  <c r="C29" i="13"/>
  <c r="C28" i="13"/>
  <c r="C27" i="13"/>
  <c r="C26" i="13"/>
  <c r="C25" i="13"/>
  <c r="C24" i="13"/>
  <c r="C23" i="13"/>
  <c r="C25" i="2"/>
  <c r="C26" i="2"/>
  <c r="C27" i="2"/>
  <c r="C28" i="2"/>
  <c r="C29" i="2"/>
  <c r="C30" i="2"/>
  <c r="C31" i="2"/>
  <c r="C32" i="2"/>
  <c r="C34" i="2"/>
  <c r="C39" i="2"/>
  <c r="C40" i="2"/>
  <c r="C41" i="2"/>
  <c r="C42" i="2"/>
  <c r="C43" i="2"/>
  <c r="C44" i="2"/>
  <c r="C45" i="2"/>
  <c r="C69" i="2"/>
  <c r="C70" i="2"/>
  <c r="C71" i="2"/>
  <c r="C72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24" i="2"/>
  <c r="C163" i="2"/>
  <c r="C7" i="2"/>
  <c r="C8" i="2"/>
  <c r="C9" i="2"/>
  <c r="C10" i="2"/>
  <c r="C11" i="2"/>
  <c r="C12" i="2"/>
  <c r="C13" i="2"/>
  <c r="C2" i="13" l="1"/>
  <c r="C104" i="4" l="1"/>
  <c r="C100" i="6"/>
  <c r="C100" i="8"/>
  <c r="C100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56" i="11"/>
  <c r="C55" i="11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73" i="4"/>
  <c r="C69" i="4"/>
  <c r="C65" i="4"/>
  <c r="C61" i="4"/>
  <c r="C99" i="11" l="1"/>
  <c r="C99" i="8"/>
  <c r="C99" i="6"/>
  <c r="C103" i="4"/>
  <c r="C98" i="11"/>
  <c r="C98" i="8"/>
  <c r="C98" i="6"/>
  <c r="C102" i="4"/>
  <c r="C83" i="11"/>
  <c r="C82" i="11"/>
  <c r="C104" i="11"/>
  <c r="C103" i="11"/>
  <c r="C102" i="11"/>
  <c r="C101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1" i="11"/>
  <c r="C80" i="11"/>
  <c r="C79" i="11"/>
  <c r="C78" i="11"/>
  <c r="C77" i="11"/>
  <c r="C76" i="11"/>
  <c r="C75" i="11"/>
  <c r="C74" i="11"/>
  <c r="C73" i="11"/>
  <c r="C72" i="11"/>
  <c r="C4" i="11"/>
  <c r="C83" i="8"/>
  <c r="C104" i="8"/>
  <c r="C103" i="8"/>
  <c r="C102" i="8"/>
  <c r="C101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2" i="8"/>
  <c r="C81" i="8"/>
  <c r="C80" i="8"/>
  <c r="C79" i="8"/>
  <c r="C78" i="8"/>
  <c r="C77" i="8"/>
  <c r="C76" i="8"/>
  <c r="C75" i="8"/>
  <c r="C74" i="8"/>
  <c r="C73" i="8"/>
  <c r="C72" i="8"/>
  <c r="C4" i="8"/>
  <c r="C4" i="6"/>
  <c r="C4" i="4"/>
  <c r="C108" i="4"/>
  <c r="C107" i="4"/>
  <c r="C106" i="4"/>
  <c r="C105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5" i="4"/>
  <c r="C84" i="4"/>
  <c r="C83" i="4"/>
  <c r="C82" i="4"/>
  <c r="C81" i="4"/>
  <c r="C80" i="4"/>
  <c r="C79" i="4"/>
  <c r="C78" i="4"/>
  <c r="C77" i="4"/>
  <c r="C76" i="4"/>
  <c r="C75" i="4"/>
  <c r="C74" i="4"/>
  <c r="C72" i="4"/>
  <c r="C71" i="4"/>
  <c r="C70" i="4"/>
  <c r="C68" i="4"/>
  <c r="C67" i="4"/>
  <c r="C66" i="4"/>
  <c r="C64" i="4"/>
  <c r="C63" i="4"/>
  <c r="C62" i="4"/>
  <c r="C60" i="4"/>
  <c r="C59" i="4"/>
  <c r="C58" i="4"/>
  <c r="C57" i="4"/>
  <c r="C91" i="6"/>
  <c r="C89" i="6"/>
  <c r="C72" i="6"/>
  <c r="C104" i="6" l="1"/>
  <c r="C103" i="6"/>
  <c r="C102" i="6"/>
  <c r="C101" i="6"/>
  <c r="C95" i="6"/>
  <c r="C94" i="6"/>
  <c r="C93" i="6"/>
  <c r="C96" i="6"/>
  <c r="C97" i="6"/>
  <c r="C92" i="6"/>
  <c r="C90" i="6"/>
  <c r="C86" i="6"/>
  <c r="C85" i="6"/>
  <c r="C88" i="6"/>
  <c r="C87" i="6"/>
  <c r="C84" i="6"/>
  <c r="C82" i="6"/>
  <c r="C81" i="6"/>
  <c r="C80" i="6"/>
  <c r="C79" i="6"/>
  <c r="C78" i="6"/>
  <c r="C77" i="6"/>
  <c r="C76" i="6"/>
  <c r="C75" i="6"/>
  <c r="C74" i="6"/>
  <c r="C73" i="6"/>
  <c r="C83" i="6" l="1"/>
  <c r="C1332" i="1" l="1"/>
  <c r="C1375" i="1"/>
  <c r="C1360" i="1"/>
  <c r="C1353" i="1"/>
  <c r="C1346" i="1"/>
  <c r="C1337" i="1"/>
  <c r="C54" i="1"/>
  <c r="C35" i="1"/>
  <c r="C33" i="12"/>
  <c r="C9" i="12"/>
  <c r="C6" i="5"/>
  <c r="C6" i="9"/>
  <c r="C6" i="7"/>
  <c r="C6" i="3" l="1"/>
</calcChain>
</file>

<file path=xl/sharedStrings.xml><?xml version="1.0" encoding="utf-8"?>
<sst xmlns="http://schemas.openxmlformats.org/spreadsheetml/2006/main" count="5704" uniqueCount="1094">
  <si>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</si>
  <si>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</si>
  <si>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</si>
  <si>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</si>
  <si>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</si>
  <si>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</si>
  <si>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</si>
  <si>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</si>
  <si>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</si>
  <si>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</si>
  <si>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</si>
  <si>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</si>
  <si>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</si>
  <si>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</si>
  <si>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</si>
  <si>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</si>
  <si>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</si>
  <si>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</si>
  <si>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</si>
  <si>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</si>
  <si>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</si>
  <si>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</si>
  <si>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</si>
  <si>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</si>
  <si>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</si>
  <si>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</si>
  <si>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</si>
  <si>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</si>
  <si>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</si>
  <si>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</si>
  <si>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</si>
  <si>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</si>
  <si>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</si>
  <si>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</si>
  <si>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</si>
  <si>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</si>
  <si>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</si>
  <si>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</si>
  <si>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</si>
  <si>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</si>
  <si>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</si>
  <si>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comp_backward_norm_acca</t>
  </si>
  <si>
    <t>comp_mac_end_acca</t>
  </si>
  <si>
    <t>comp_mac_loop_b_term_acca</t>
  </si>
  <si>
    <t>comp_mac_start_acca_resume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</si>
  <si>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</si>
  <si>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</si>
  <si>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</si>
  <si>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</si>
  <si>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</si>
  <si>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</si>
  <si>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</si>
  <si>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</si>
  <si>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</si>
  <si>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</si>
  <si>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</si>
  <si>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</si>
  <si>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</si>
  <si>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</si>
  <si>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</si>
  <si>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</si>
  <si>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</si>
  <si>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</si>
  <si>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</si>
  <si>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</si>
  <si>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</si>
  <si>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</si>
  <si>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</si>
  <si>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</si>
  <si>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</si>
  <si>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</si>
  <si>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</si>
  <si>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</si>
  <si>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</si>
  <si>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</si>
  <si>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</si>
  <si>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</si>
  <si>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</si>
  <si>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</si>
  <si>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wreg_usage</t>
  </si>
  <si>
    <t>;Instruction blockset for signle-bitshed 16-bit fixed point controllers</t>
  </si>
  <si>
    <t>[blockset_sbsft_0]</t>
  </si>
  <si>
    <t>comp_mac_store32b_a</t>
  </si>
  <si>
    <t>comp_mac_loop_b_term_reverse_acca</t>
  </si>
  <si>
    <t>comp_mac_start_acca_reverse_clear</t>
  </si>
  <si>
    <t>load_b_coeff_array_ptr_reverse</t>
  </si>
  <si>
    <t>comp_control_add_most_recent_to_history_indirect</t>
  </si>
  <si>
    <t>comp_mac_load32b_a</t>
  </si>
  <si>
    <t>add_data_structure_fscl</t>
  </si>
  <si>
    <t>;linear execution of compensation filter (READ - MAC_B0 - CLAMP - WRITE - ATRIG - UPDATE_A - MAC_A - UPDATE_B - MAC_B)</t>
  </si>
  <si>
    <t>[blockset_sbsft_1]</t>
  </si>
  <si>
    <t>code29</t>
  </si>
  <si>
    <t>code28</t>
  </si>
  <si>
    <t>code27</t>
  </si>
  <si>
    <t>code26</t>
  </si>
  <si>
    <t>code25</t>
  </si>
  <si>
    <t>code24</t>
  </si>
  <si>
    <t>code23</t>
  </si>
  <si>
    <t>code22</t>
  </si>
  <si>
    <t>code21</t>
  </si>
  <si>
    <t>code20</t>
  </si>
  <si>
    <t>code19</t>
  </si>
  <si>
    <t>code18</t>
  </si>
  <si>
    <t>code17</t>
  </si>
  <si>
    <t>code16</t>
  </si>
  <si>
    <t>code15</t>
  </si>
  <si>
    <t>code14</t>
  </si>
  <si>
    <t>code13</t>
  </si>
  <si>
    <t>code12</t>
  </si>
  <si>
    <t>code11</t>
  </si>
  <si>
    <t>code10</t>
  </si>
  <si>
    <t>code9</t>
  </si>
  <si>
    <t>code8</t>
  </si>
  <si>
    <t>code7</t>
  </si>
  <si>
    <t>code6</t>
  </si>
  <si>
    <t>code5</t>
  </si>
  <si>
    <t>code4</t>
  </si>
  <si>
    <t>code3</t>
  </si>
  <si>
    <t>code2</t>
  </si>
  <si>
    <t>code1</t>
  </si>
  <si>
    <t>code0</t>
  </si>
  <si>
    <t>comment29</t>
  </si>
  <si>
    <t>comment28</t>
  </si>
  <si>
    <t>comment27</t>
  </si>
  <si>
    <t>comment26</t>
  </si>
  <si>
    <t>comment25</t>
  </si>
  <si>
    <t>comment24</t>
  </si>
  <si>
    <t>comment23</t>
  </si>
  <si>
    <t>comment22</t>
  </si>
  <si>
    <t>comment21</t>
  </si>
  <si>
    <t>comment20</t>
  </si>
  <si>
    <t>comment19</t>
  </si>
  <si>
    <t>comment18</t>
  </si>
  <si>
    <t>comment17</t>
  </si>
  <si>
    <t>comment16</t>
  </si>
  <si>
    <t>comment15</t>
  </si>
  <si>
    <t>comment14</t>
  </si>
  <si>
    <t>comment13</t>
  </si>
  <si>
    <t>comment12</t>
  </si>
  <si>
    <t>comment11</t>
  </si>
  <si>
    <t>comment10</t>
  </si>
  <si>
    <t>comment9</t>
  </si>
  <si>
    <t>comment8</t>
  </si>
  <si>
    <t>comment7</t>
  </si>
  <si>
    <t>comment6</t>
  </si>
  <si>
    <t>comment5</t>
  </si>
  <si>
    <t>comment4</t>
  </si>
  <si>
    <t>comment3</t>
  </si>
  <si>
    <t>comment2</t>
  </si>
  <si>
    <t>comment1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</si>
  <si>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</si>
  <si>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</si>
  <si>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</si>
  <si>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</si>
  <si>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</si>
  <si>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</si>
  <si>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</si>
  <si>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</si>
  <si>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</si>
  <si>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;Instruction blockset for output factor modulated, signle-bitshed 16-bit fixed point controllers</t>
  </si>
  <si>
    <t>[blockset_scscl_0]</t>
  </si>
  <si>
    <t>[add_data_structure_scscl]</t>
  </si>
  <si>
    <t>comp_add_accb_to_acca</t>
  </si>
  <si>
    <t>comp_backward_norm_accb</t>
  </si>
  <si>
    <t>comp_mac_end_accb</t>
  </si>
  <si>
    <t>comp_mac_loop_b_term_accb</t>
  </si>
  <si>
    <t>comp_mac_start_accb_clear_prefetch</t>
  </si>
  <si>
    <t>add_data_structure_dbsft</t>
  </si>
  <si>
    <t>ab</t>
  </si>
  <si>
    <t>;Instruction blockset for double-bitshed 16-bit fixed point controllers</t>
  </si>
  <si>
    <t>[blockset_dbsft_0]</t>
  </si>
  <si>
    <t>[add_data_structure_dbsft]</t>
  </si>
  <si>
    <t>fscl_context_restore_mac_registers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</si>
  <si>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</si>
  <si>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</si>
  <si>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</si>
  <si>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</si>
  <si>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</si>
  <si>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</si>
  <si>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</si>
  <si>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</si>
  <si>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[blockset_fscl_0]</t>
  </si>
  <si>
    <t>[add_data_structure_fscl]</t>
  </si>
  <si>
    <t>[generic]</t>
  </si>
  <si>
    <t>Name</t>
  </si>
  <si>
    <t>Assembly Generator Script</t>
  </si>
  <si>
    <t>Description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</si>
  <si>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</si>
  <si>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</si>
  <si>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</si>
  <si>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</si>
  <si>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</si>
  <si>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</si>
  <si>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</si>
  <si>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</si>
  <si>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</si>
  <si>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</si>
  <si>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</si>
  <si>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</si>
  <si>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11/08/19;1.2.4;Added 'Changed data provider items from local copies in cNPNZ16b_t data structure to poinbter to external data buffers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</si>
  <si>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</si>
  <si>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</si>
  <si>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</si>
  <si>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</si>
  <si>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</si>
  <si>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</si>
  <si>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</si>
  <si>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</si>
  <si>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</si>
  <si>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</si>
  <si>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</si>
  <si>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</si>
  <si>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</si>
  <si>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</si>
  <si>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</si>
  <si>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</si>
  <si>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</si>
  <si>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</si>
  <si>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</si>
  <si>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</si>
  <si>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</si>
  <si>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</si>
  <si>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</si>
  <si>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</si>
  <si>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</si>
  <si>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</si>
  <si>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</si>
  <si>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</si>
  <si>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</si>
  <si>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</si>
  <si>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</si>
  <si>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</si>
  <si>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</si>
  <si>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</si>
  <si>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</si>
  <si>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</si>
  <si>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</si>
  <si>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</si>
  <si>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</si>
  <si>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</si>
  <si>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</si>
  <si>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</si>
  <si>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</si>
  <si>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</si>
  <si>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</si>
  <si>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</si>
  <si>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</si>
  <si>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</si>
  <si>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</si>
  <si>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</si>
  <si>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</si>
  <si>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</si>
  <si>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</si>
  <si>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</si>
  <si>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</si>
  <si>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</si>
  <si>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</si>
  <si>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</si>
  <si>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</si>
  <si>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</si>
  <si>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</si>
  <si>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</si>
  <si>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push w0</t>
  </si>
  <si>
    <t>[clear_control_history_loop]</t>
  </si>
  <si>
    <t>filter_order_loop</t>
  </si>
  <si>
    <t>clr [w0++]</t>
  </si>
  <si>
    <t>[clear_control_history_end]</t>
  </si>
  <si>
    <t>clr [w0]</t>
  </si>
  <si>
    <t>pop w0</t>
  </si>
  <si>
    <t>[clear_error_history_start]</t>
  </si>
  <si>
    <t>%SEPARATOR%; Clear error history array</t>
  </si>
  <si>
    <t>[clear_error_history_loop]</t>
  </si>
  <si>
    <t>b</t>
  </si>
  <si>
    <t>Clear next address of error history array</t>
  </si>
  <si>
    <t>[clear_error_history_end]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</si>
  <si>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</si>
  <si>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</si>
  <si>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</si>
  <si>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</si>
  <si>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</si>
  <si>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</si>
  <si>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</si>
  <si>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</si>
  <si>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</si>
  <si>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</si>
  <si>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</si>
  <si>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</si>
  <si>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</si>
  <si>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[charge_error_history_loop]</t>
  </si>
  <si>
    <t>Load user value into next address of error history array</t>
  </si>
  <si>
    <t>mov w1, [w0++]</t>
  </si>
  <si>
    <t>[charge_error_history_end]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</si>
  <si>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</si>
  <si>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</si>
  <si>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</si>
  <si>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</si>
  <si>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</si>
  <si>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</si>
  <si>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</si>
  <si>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</si>
  <si>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</si>
  <si>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</si>
  <si>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</si>
  <si>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</si>
  <si>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</si>
  <si>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</si>
  <si>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</si>
  <si>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</si>
  <si>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</si>
  <si>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</si>
  <si>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</si>
  <si>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</si>
  <si>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</si>
  <si>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</si>
  <si>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</si>
  <si>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</si>
  <si>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</si>
  <si>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</si>
  <si>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</si>
  <si>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</si>
  <si>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</si>
  <si>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</si>
  <si>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</si>
  <si>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</si>
  <si>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</si>
  <si>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</si>
  <si>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</si>
  <si>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</si>
  <si>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</si>
  <si>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</si>
  <si>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</si>
  <si>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</si>
  <si>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</si>
  <si>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</si>
  <si>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</si>
  <si>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</si>
  <si>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</si>
  <si>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</si>
  <si>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</si>
  <si>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</si>
  <si>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</si>
  <si>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</si>
  <si>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</si>
  <si>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</si>
  <si>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</si>
  <si>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</si>
  <si>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</si>
  <si>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</si>
  <si>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</si>
  <si>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</si>
  <si>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</si>
  <si>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</si>
  <si>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</si>
  <si>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</si>
  <si>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</si>
  <si>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</si>
  <si>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</si>
  <si>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</si>
  <si>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</si>
  <si>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data_structure</t>
  </si>
  <si>
    <t>%SEPARATOR%; Check status word for Enable/Disable flag and bypass computation, if disabled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</si>
  <si>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</si>
  <si>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</si>
  <si>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</si>
  <si>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</si>
  <si>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</si>
  <si>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</si>
  <si>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 xml:space="preserve">mov [w2], w1 </t>
  </si>
  <si>
    <t>[enable_disable_end_dummy_read_end]</t>
  </si>
  <si>
    <t xml:space="preserve">Exit control loop branch target 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</si>
  <si>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</si>
  <si>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</si>
  <si>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</si>
  <si>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</si>
  <si>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</si>
  <si>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</si>
  <si>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</si>
  <si>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</si>
  <si>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</si>
  <si>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</si>
  <si>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</si>
  <si>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call w1</t>
  </si>
  <si>
    <t>[update_status_bitfield]</t>
  </si>
  <si>
    <t>%SEPARATOR%; Update status flag bitfield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</si>
  <si>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</si>
  <si>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</si>
  <si>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</si>
  <si>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</si>
  <si>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</si>
  <si>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</si>
  <si>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</si>
  <si>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</si>
  <si>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</si>
  <si>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</si>
  <si>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</si>
  <si>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</si>
  <si>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</si>
  <si>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</si>
  <si>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</si>
  <si>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</si>
  <si>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</si>
  <si>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</si>
  <si>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</si>
  <si>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</si>
  <si>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</si>
  <si>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[anti_windup_max_clear_status_flag]</t>
  </si>
  <si>
    <t>clear upper limit saturation flag bit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</si>
  <si>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</si>
  <si>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</si>
  <si>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</si>
  <si>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</si>
  <si>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</si>
  <si>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</si>
  <si>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</si>
  <si>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</si>
  <si>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</si>
  <si>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</si>
  <si>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</si>
  <si>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</si>
  <si>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</si>
  <si>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</si>
  <si>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</si>
  <si>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</si>
  <si>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</si>
  <si>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</si>
  <si>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</si>
  <si>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[anti_windup_min_clear_status_flag]</t>
  </si>
  <si>
    <t>clear lower limit saturation flag bit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</si>
  <si>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</si>
  <si>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</si>
  <si>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</si>
  <si>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</si>
  <si>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</si>
  <si>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</si>
  <si>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</si>
  <si>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</si>
  <si>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</si>
  <si>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add w1, w2, w1</t>
  </si>
  <si>
    <t>[comp_invert_input]</t>
  </si>
  <si>
    <t>Test control bit if value should be inverted</t>
  </si>
  <si>
    <t>invert value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</si>
  <si>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</si>
  <si>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</si>
  <si>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</si>
  <si>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</si>
  <si>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w1, [w2]</t>
  </si>
  <si>
    <t>[comp_get_error]</t>
  </si>
  <si>
    <t>move pointer to control reference into working register</t>
  </si>
  <si>
    <t>subr w1, [w2], w1</t>
  </si>
  <si>
    <t>[comp_norm_error]</t>
  </si>
  <si>
    <t>move error input scaler into working register</t>
  </si>
  <si>
    <t>normalize error result to fractional number format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</si>
  <si>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</si>
  <si>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</si>
  <si>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</si>
  <si>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</si>
  <si>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</si>
  <si>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</si>
  <si>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</si>
  <si>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</si>
  <si>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</si>
  <si>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</si>
  <si>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</si>
  <si>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</si>
  <si>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</si>
  <si>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</si>
  <si>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</si>
  <si>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</si>
  <si>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</si>
  <si>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</si>
  <si>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</si>
  <si>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</si>
  <si>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</si>
  <si>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</si>
  <si>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</si>
  <si>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</si>
  <si>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</si>
  <si>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</si>
  <si>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</si>
  <si>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</si>
  <si>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</si>
  <si>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</si>
  <si>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</si>
  <si>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[comp_control_add_most_recent_to_history_indirect]</t>
  </si>
  <si>
    <t>[load_a_coeff_array_ptr]</t>
  </si>
  <si>
    <t>%SEPARATOR%; Setup pointers to A-Term data arrays</t>
  </si>
  <si>
    <t>load pointer to first index of A coefficients array</t>
  </si>
  <si>
    <t>[load_a_coeff_array_ptr_reverse]</t>
  </si>
  <si>
    <t>%SEPARATOR%; Setup pointers to end of A-Term data arrays</t>
  </si>
  <si>
    <t>load pointer to end of A coefficients array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</si>
  <si>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</si>
  <si>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</si>
  <si>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</si>
  <si>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</si>
  <si>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</si>
  <si>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</si>
  <si>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</si>
  <si>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</si>
  <si>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</si>
  <si>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</si>
  <si>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</si>
  <si>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</si>
  <si>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[load_error_history_array_ptr_reverse]</t>
  </si>
  <si>
    <t>[load_error_history_before_update_array_ptr]</t>
  </si>
  <si>
    <t>%SEPARATOR%; Setup pointer to second element of error history array</t>
  </si>
  <si>
    <t>[load_error_history_before_update_array_ptr_reverse]</t>
  </si>
  <si>
    <t>%SEPARATOR%; Setup pointer to penultimate element of error history array</t>
  </si>
  <si>
    <t>[load_control_history_array_ptr]</t>
  </si>
  <si>
    <t>%SEPARATOR%; Load pointer to first element of control history array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</si>
  <si>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</si>
  <si>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</si>
  <si>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</si>
  <si>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</si>
  <si>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</si>
  <si>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</si>
  <si>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</si>
  <si>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</si>
  <si>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</si>
  <si>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</si>
  <si>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</si>
  <si>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</si>
  <si>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</si>
  <si>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</si>
  <si>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</si>
  <si>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</si>
  <si>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</si>
  <si>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</si>
  <si>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</si>
  <si>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</si>
  <si>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</si>
  <si>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</si>
  <si>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</si>
  <si>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</si>
  <si>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</si>
  <si>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</si>
  <si>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</si>
  <si>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</si>
  <si>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</si>
  <si>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</si>
  <si>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</si>
  <si>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</si>
  <si>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</si>
  <si>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</si>
  <si>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</si>
  <si>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</si>
  <si>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</si>
  <si>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</si>
  <si>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</si>
  <si>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</si>
  <si>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</si>
  <si>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</si>
  <si>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</si>
  <si>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</si>
  <si>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</si>
  <si>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</si>
  <si>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</si>
  <si>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</si>
  <si>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[comp_backward_norm_acca]</t>
  </si>
  <si>
    <t>%SEPARATOR%; Backward normalization of recent result</t>
  </si>
  <si>
    <t>sftac a, w6</t>
  </si>
  <si>
    <t>[comp_backward_norm_accb]</t>
  </si>
  <si>
    <t>sftac b, w6</t>
  </si>
  <si>
    <t>[comp_backward_norm_coeff_scaler_acca]</t>
  </si>
  <si>
    <t>%SEPARATOR%; Initialize Scale-factor and multiply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</si>
  <si>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</si>
  <si>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</si>
  <si>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</si>
  <si>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</si>
  <si>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</si>
  <si>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</si>
  <si>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</si>
  <si>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</si>
  <si>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[comp_mac_load32b_accb]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</si>
  <si>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</si>
  <si>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</si>
  <si>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</si>
  <si>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</si>
  <si>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</si>
  <si>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</si>
  <si>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</si>
  <si>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</si>
  <si>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</si>
  <si>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</si>
  <si>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</si>
  <si>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</si>
  <si>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</si>
  <si>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</si>
  <si>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</si>
  <si>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</si>
  <si>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</si>
  <si>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</si>
  <si>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w4, [w8]</t>
  </si>
  <si>
    <t>[comp_writeback_ssm]</t>
  </si>
  <si>
    <t>%SEPARATOR%; Add spread specturm modulator</t>
  </si>
  <si>
    <t>mpy w4*w6, [w8]</t>
  </si>
  <si>
    <t>[adc_trigger_a_placement]</t>
  </si>
  <si>
    <t>%SEPARATOR%; Update ADC trigger A position</t>
  </si>
  <si>
    <t>asr w4, #1, w6</t>
  </si>
  <si>
    <t>add w6, w8, w10</t>
  </si>
  <si>
    <t>mov w10, [w8]</t>
  </si>
  <si>
    <t>[adc_trigger_b_placement]</t>
  </si>
  <si>
    <t>%SEPARATOR%; Update ADC trigger B position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</si>
  <si>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</si>
  <si>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</si>
  <si>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</si>
  <si>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</si>
  <si>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</si>
  <si>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</si>
  <si>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</si>
  <si>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</si>
  <si>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</si>
  <si>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</si>
  <si>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</si>
  <si>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</si>
  <si>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</si>
  <si>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</si>
  <si>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</si>
  <si>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</si>
  <si>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</si>
  <si>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</si>
  <si>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</si>
  <si>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</si>
  <si>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</si>
  <si>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</si>
  <si>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</si>
  <si>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</si>
  <si>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</si>
  <si>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</si>
  <si>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</si>
  <si>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</si>
  <si>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move value from primary or alternate input source into working register</t>
  </si>
  <si>
    <t>load pointer to primary input source register</t>
  </si>
  <si>
    <t>test SWAP_SOURCE status bit in status word and skip following instruction if cleared</t>
  </si>
  <si>
    <t>[comp_read_input_with_alt_source_switch]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</si>
  <si>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</si>
  <si>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</si>
  <si>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</si>
  <si>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</si>
  <si>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calculate error (=reference - input)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</si>
  <si>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</si>
  <si>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</si>
  <si>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</si>
  <si>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</si>
  <si>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</si>
  <si>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</si>
  <si>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</si>
  <si>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</si>
  <si>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</si>
  <si>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</si>
  <si>
    <t>sftac b, w2</t>
  </si>
  <si>
    <t>multiply accumulator B result with AGC modulation factor</t>
  </si>
  <si>
    <t>[agc_factor_multiply_scaled]</t>
  </si>
  <si>
    <t>code30</t>
  </si>
  <si>
    <t>code31</t>
  </si>
  <si>
    <t>code32</t>
  </si>
  <si>
    <t>code33</t>
  </si>
  <si>
    <t>code34</t>
  </si>
  <si>
    <t>comment30</t>
  </si>
  <si>
    <t>comment31</t>
  </si>
  <si>
    <t>comment32</t>
  </si>
  <si>
    <t>comment33</t>
  </si>
  <si>
    <t>comment34</t>
  </si>
  <si>
    <t>.equ NPNZ16_STATUS_INVERT_INPUT, 14</t>
  </si>
  <si>
    <t>.equ NPNZ16_STATUS_SWAP_SOURCE,  13</t>
  </si>
  <si>
    <t>.equ NPNZ16_STATUS_SWAP_TARGET,  12</t>
  </si>
  <si>
    <t>.equ NPNZ16_STATUS_USAT,         1</t>
  </si>
  <si>
    <t>.equ NPNZ16_STATUS_LSAT,         0</t>
  </si>
  <si>
    <t>bset w12, #NPNZ16_STATUS_USAT</t>
  </si>
  <si>
    <t>bclr w12, #NPNZ16_STATUS_USAT</t>
  </si>
  <si>
    <t>bset w12, #NPNZ16_STATUS_LSAT</t>
  </si>
  <si>
    <t>bclr w12, #NPNZ16_STATUS_LSAT</t>
  </si>
  <si>
    <t>btsc w12, #NPNZ16_STATUS_SWAP_SOURCE</t>
  </si>
  <si>
    <t>btsc w12, #NPNZ16_STATUS_INVERT_INPUT</t>
  </si>
  <si>
    <t>btsc w12, #NPNZ16_STATUS_SWAP_TARGET</t>
  </si>
  <si>
    <t>03/24/2020;1.3.8;Renamed data structure prefix NPMZ16_ to NPNZ16_</t>
  </si>
  <si>
    <t>%SEPARATOR%; Adaptive Loop Gain Modulation</t>
  </si>
  <si>
    <t>sac.r b, w6</t>
  </si>
  <si>
    <t>mpy w4*w6, b</t>
  </si>
  <si>
    <t>load AGC modulation factor into working register</t>
  </si>
  <si>
    <t>load AGC modulation factor scaler into working register</t>
  </si>
  <si>
    <t>shift result by AGC scaler</t>
  </si>
  <si>
    <t>check status bit if Adaptive Gain Control is enabled</t>
  </si>
  <si>
    <t>branch to end of AGC calculation if not</t>
  </si>
  <si>
    <t>store result of accumulator B in working register</t>
  </si>
  <si>
    <t>[agc_factor_multiply_start]</t>
  </si>
  <si>
    <t>[agc_factor_multiply_enable_start]</t>
  </si>
  <si>
    <t>[agc_factor_multiply_enable_end]</t>
  </si>
  <si>
    <t>%SEPARATOR%; Global function declaration %PREFIXG%_GetGainFactor\n; This function calculates a the gain modulation factor \n; by deviding Alternate Source by Source%SEPARATOR%</t>
  </si>
  <si>
    <t>.global %PREFIXG%_GetGainFactor</t>
  </si>
  <si>
    <r>
      <t>%PREFIXG%_</t>
    </r>
    <r>
      <rPr>
        <b/>
        <sz val="11"/>
        <color theme="1"/>
        <rFont val="Courier New"/>
        <family val="3"/>
      </rPr>
      <t>GetGainFactor</t>
    </r>
    <r>
      <rPr>
        <sz val="11"/>
        <color theme="1"/>
        <rFont val="Courier New"/>
        <family val="3"/>
      </rPr>
      <t>:\n</t>
    </r>
  </si>
  <si>
    <t xml:space="preserve">mov [w1], w1 </t>
  </si>
  <si>
    <t>sl  w1, w3, w1</t>
  </si>
  <si>
    <t>mov [w2], w2</t>
  </si>
  <si>
    <t>sl  w2, w2, w2</t>
  </si>
  <si>
    <t>sub w1, w2, w6</t>
  </si>
  <si>
    <t>clr  w0</t>
  </si>
  <si>
    <t>clr  w1</t>
  </si>
  <si>
    <t>sl w0, #1, w0</t>
  </si>
  <si>
    <t>mov w0, w2</t>
  </si>
  <si>
    <t>move gain factor result back into data structure</t>
  </si>
  <si>
    <t>load pointer to most recent input voltage register</t>
  </si>
  <si>
    <t>load value into w1</t>
  </si>
  <si>
    <t>load most recent input voltage normalization scaler</t>
  </si>
  <si>
    <t>normalize input voltage value</t>
  </si>
  <si>
    <t>load pointer to most recent output voltage register</t>
  </si>
  <si>
    <t>load value into w2</t>
  </si>
  <si>
    <t>normalize output voltage value</t>
  </si>
  <si>
    <t>load most recent output voltage normalization scaler</t>
  </si>
  <si>
    <t>calculate most recent VL, place result in w6</t>
  </si>
  <si>
    <t>load pointer to nominal VL</t>
  </si>
  <si>
    <t>Save working register WREG0 (holds data structure start address)</t>
  </si>
  <si>
    <t>clear divider target register #0</t>
  </si>
  <si>
    <t>clear divider target register #1</t>
  </si>
  <si>
    <t>repeat divide instructions n-times</t>
  </si>
  <si>
    <t>divide nominal VL by instantaneous VL</t>
  </si>
  <si>
    <t>normalize result to Q15 number</t>
  </si>
  <si>
    <t>move result outo f WREG0</t>
  </si>
  <si>
    <t>restore WREG0 to get access to data structure back</t>
  </si>
  <si>
    <t>call %PREFIXG%_GetGainFactor</t>
  </si>
  <si>
    <t>call function determining most recent modulation factor</t>
  </si>
  <si>
    <t>[agc_factor_multiply_get_factor_call]</t>
  </si>
  <si>
    <t>[agc_factor_get_factor]</t>
  </si>
  <si>
    <t>branch target for AGC enable-/disable-switch</t>
  </si>
  <si>
    <t>agc_factor_multiply_start</t>
  </si>
  <si>
    <t>agc_factor_multiply_enable_start</t>
  </si>
  <si>
    <t>agc_factor_multiply_enable_end</t>
  </si>
  <si>
    <t>agc_factor_multiply_get_factor_call</t>
  </si>
  <si>
    <t>agc_factor_multiply_scaled</t>
  </si>
  <si>
    <t>This script defines DSP assembly code generation templates used to generate user-tailored SMPS control loops using the DCLD SDK</t>
  </si>
  <si>
    <t>[filter_block_array_addressing_coeff]</t>
  </si>
  <si>
    <t>03/26/2020;2.0.0;Introduction of unified 32-bit wide coefficient number format</t>
  </si>
  <si>
    <t>[filter_block_array_addressing_data]</t>
  </si>
  <si>
    <t>mov [w10 + #%INDEX*ADDR_DATA-ADDR_DATA%], w6</t>
  </si>
  <si>
    <t>mov w6, [w10 + #%INDEX*ADDR_DATA%]</t>
  </si>
  <si>
    <t>mov w6, [w10 + #%FO*ADDR_DATA% - #%INDEX*ADDR_DATA%]</t>
  </si>
  <si>
    <t>mov w1, [w10 + #%FO*ADDR_DATA% - %FO*ADDR_DATA%]</t>
  </si>
  <si>
    <t>mov [w10 + #%FO*ADDR_DATA% - #%INDEX*ADDR_DATA+ADDR_DATA%], w6</t>
  </si>
  <si>
    <t>mov w4, [w10 - %FO*ADDR_DATA%]</t>
  </si>
  <si>
    <t>add w8, #%FO*ADDR_COEF%, w8</t>
  </si>
  <si>
    <t>add w10, #%FO*ADDR_DATA%, w10</t>
  </si>
  <si>
    <t>add w10, #%ADDR_DATA%, w10</t>
  </si>
  <si>
    <t>add w10, #%FO*ADDR_DATA-ADDR_DATA%, w10</t>
  </si>
  <si>
    <t>clr a, [w8]+=%ADDR_COEF%, w4, [w10]+=%ADDR_DATA%, w6</t>
  </si>
  <si>
    <t>clr a, [w8]-=%ADDR_COEF%, w4, [w10 + #%FO*ADDR_DATA%]-=%ADDR_DATA%, w6</t>
  </si>
  <si>
    <t>movsac a, [w8]+=%ADDR_COEF%, w4, [w10]+=%ADDR_DATA%, w6</t>
  </si>
  <si>
    <t>movsac a, [w8]-=%ADDR_COEF%, w4, [w10]-=%ADDR_DATA%, w6</t>
  </si>
  <si>
    <t>clr b, [w8]+=%ADDR_COEF%, w4, [w10]+=%ADDR_DATA%, w6</t>
  </si>
  <si>
    <t>clr b, [w8]-=%ADDR_COEF%, w4, [w10 + #%FO*ADDR_DATA%]-=%ADDR_DATA%, w6</t>
  </si>
  <si>
    <t>movsac b, [w8]+=%ADDR_COEF%, w4, [w10]+=%ADDR_DATA%, w6</t>
  </si>
  <si>
    <t>movsac b, [w8]-=%ADDR_COEF%, w4, [w10]-=%ADDR_DATA%, w6</t>
  </si>
  <si>
    <t>mac w4*w6, a, [w8]+=%ADDR_COEF%, w4, [w10]+=%ADDR_DATA%, w6</t>
  </si>
  <si>
    <t>mac w4*w6, a, [w8]-=%ADDR_COEF%, w4, [w10]-=%ADDR_DATA%, w6</t>
  </si>
  <si>
    <t>mac w4*w6, b, [w8]+=%ADDR_COEF%, w4, [w10]+=%ADDR_DATA%, w6</t>
  </si>
  <si>
    <t>mac w4*w6, b, [w8]-=%ADDR_COEF%, w4, [w10]-=%ADDR_DATA%, w6</t>
  </si>
  <si>
    <t>clr b, [w8]+=%ADDR_DATA%, w5</t>
  </si>
  <si>
    <t>movsac b, [w8]+=%ADDR_DATA%, w5</t>
  </si>
  <si>
    <t>mpy w4*w6, a, [w8]+=%ADDR_COEF%, w4, [w10]+=%ADDR_DATA%, w6</t>
  </si>
  <si>
    <t>mov [w8 - #%ADDR_DATA*3%], w5</t>
  </si>
  <si>
    <t>code35</t>
  </si>
  <si>
    <t>code36</t>
  </si>
  <si>
    <t>code37</t>
  </si>
  <si>
    <t>code38</t>
  </si>
  <si>
    <t>code39</t>
  </si>
  <si>
    <t>code40</t>
  </si>
  <si>
    <t>code41</t>
  </si>
  <si>
    <t>code42</t>
  </si>
  <si>
    <t>code43</t>
  </si>
  <si>
    <t>code44</t>
  </si>
  <si>
    <t>code45</t>
  </si>
  <si>
    <t>code46</t>
  </si>
  <si>
    <t>code47</t>
  </si>
  <si>
    <t>code48</t>
  </si>
  <si>
    <t>controller object status word at address-offset = 0</t>
  </si>
  <si>
    <t>parameter group Ports.Source: bit-shift scaler of normalization factor</t>
  </si>
  <si>
    <t>parameter group Ports.Source: Q15 normalization factor</t>
  </si>
  <si>
    <t>parameter group Ports.Source: pointer to source memory address</t>
  </si>
  <si>
    <t>parameter group Ports.AltSource: bit-shift scaler of normalization factor</t>
  </si>
  <si>
    <t>parameter group Ports.AltSource: Q15 normalization factor</t>
  </si>
  <si>
    <t>parameter group Ports.Target: bit-shift scaler of normalization factor</t>
  </si>
  <si>
    <t>parameter group Ports.Target: Q15 normalization factor</t>
  </si>
  <si>
    <t>parameter group Ports.Target: pointer to target memory address</t>
  </si>
  <si>
    <t>parameter group Ports.AltSource: pointer to alternate source memory address</t>
  </si>
  <si>
    <t>parameter group Ports.AltTarget: bit-shift scaler of normalization factor</t>
  </si>
  <si>
    <t>parameter group Ports.AltTarget: Q15 normalization factor</t>
  </si>
  <si>
    <t>parameter group Ports.Target: value of target output signal/value offset</t>
  </si>
  <si>
    <t>parameter group Ports.Source: value of source input signal/value offset</t>
  </si>
  <si>
    <t>parameter group Ports.AltSource: value of alternate source input signal/value offset</t>
  </si>
  <si>
    <t>parameter group Ports.AltTarget: pointer to alternate target memory address</t>
  </si>
  <si>
    <t>parameter group Ports.AltTarget: value of alternate target output sigal/value offset</t>
  </si>
  <si>
    <t>parameter group Ports.ConrolReference: pointer to control reference variable/register memory address</t>
  </si>
  <si>
    <t>parameter group Filter: pointer to A-coefficients array start address</t>
  </si>
  <si>
    <t>parameter group Filter: pointer to B-coefficients array start address</t>
  </si>
  <si>
    <t>parameter group Filter: pointer to control history array start address</t>
  </si>
  <si>
    <t>parameter group Filter: pointer to error history array start address</t>
  </si>
  <si>
    <t>parameter group Filter: size of the A-coefficients array</t>
  </si>
  <si>
    <t>parameter group Filter: size of the B-coefficients array</t>
  </si>
  <si>
    <t>parameter group Filter: size of the control history array</t>
  </si>
  <si>
    <t>parameter group Filter: size of the error history array</t>
  </si>
  <si>
    <t>parameter group Filter: value of input value normalization bit-shift scaler</t>
  </si>
  <si>
    <t>parameter group Filter: value of A-term normalization bit-shift scaler</t>
  </si>
  <si>
    <t>parameter group Filter: (reserved)</t>
  </si>
  <si>
    <t>parameter group Filter: control loop output normalization factor</t>
  </si>
  <si>
    <t>comment35</t>
  </si>
  <si>
    <t>comment36</t>
  </si>
  <si>
    <t>comment37</t>
  </si>
  <si>
    <t>comment38</t>
  </si>
  <si>
    <t>comment39</t>
  </si>
  <si>
    <t>comment40</t>
  </si>
  <si>
    <t>comment41</t>
  </si>
  <si>
    <t>comment42</t>
  </si>
  <si>
    <t>comment43</t>
  </si>
  <si>
    <t>comment44</t>
  </si>
  <si>
    <t>comment45</t>
  </si>
  <si>
    <t>comment46</t>
  </si>
  <si>
    <t>comment47</t>
  </si>
  <si>
    <t>comment48</t>
  </si>
  <si>
    <t>comment49</t>
  </si>
  <si>
    <t xml:space="preserve">parameter group Limits: maximum clamping value of primary control output </t>
  </si>
  <si>
    <t xml:space="preserve">parameter group Limits: minimum clamping value of primary control output </t>
  </si>
  <si>
    <t xml:space="preserve">parameter group Limits: minimum clamping value of alternate control output </t>
  </si>
  <si>
    <t xml:space="preserve">parameter group Limits: maximum clamping value of alternate control output </t>
  </si>
  <si>
    <t>parameter group DataProviders: pointer to external variable/register the most recent control error will be pushed to</t>
  </si>
  <si>
    <t>parameter group DataProviders: pointer to external variable/register the most recent control input will be pushed to</t>
  </si>
  <si>
    <t>parameter group DataProviders: pointer to external variable/register the most recent control output will be pushed to</t>
  </si>
  <si>
    <t>parameter group CascadeTrigger: pointer to external, cascaded function which will be called by this controller</t>
  </si>
  <si>
    <t>parameter group CascadeTrigger: 16-bit wide function parameter or pointer to a parameter data structure of cascaded function</t>
  </si>
  <si>
    <t>parameter group Advanced: generic 16-bit wide, user-defined parameter #1 for advanced control options</t>
  </si>
  <si>
    <t>parameter group Advanced: generic 16-bit wide, user-defined parameter #2 for advanced control options</t>
  </si>
  <si>
    <t>parameter group Advanced: generic 16-bit wide, user-defined parameter #3 for advanced control options</t>
  </si>
  <si>
    <t>parameter group Advanced: generic 16-bit wide, user-defined parameter #4 for advanced control options</t>
  </si>
  <si>
    <t>code49</t>
  </si>
  <si>
    <t>mov [w0 + #ptrSourceRegister], w2</t>
  </si>
  <si>
    <t>mov [w0 + #SourceOffset], w2</t>
  </si>
  <si>
    <t>mov [w0 + #ptrAltSourceRegister], w2</t>
  </si>
  <si>
    <t>mov [w0 + #ptrAltSourceRegister], w1</t>
  </si>
  <si>
    <t>mov [w0 + #ptrTargetRegister], w8</t>
  </si>
  <si>
    <t>mov [w0 + #ptrAltTargetRegister], w8</t>
  </si>
  <si>
    <t>mov [w0 + #ptrACoefficients], w8</t>
  </si>
  <si>
    <t>mov [w0 + #ptrBCoefficients], w8</t>
  </si>
  <si>
    <t>mov  [w0 + #ptrControlHistory], w0</t>
  </si>
  <si>
    <t>mov w4, [w0 + #ptrControlHistory]</t>
  </si>
  <si>
    <t>mov [w0 + #ptrControlHistory], w10</t>
  </si>
  <si>
    <t>mov [w0 + #ptrControlHistory + %FO*ADDR_DATA-ADDR_DATA%], w10</t>
  </si>
  <si>
    <t>mov [w0 + #ptrErrorHistory], w0</t>
  </si>
  <si>
    <t>mov  [w0 + #ptrErrorHistory], w0</t>
  </si>
  <si>
    <t>mov [w0 + #ptrErrorHistory], w6</t>
  </si>
  <si>
    <t>mov [w0 + #ptrErrorHistory], w10</t>
  </si>
  <si>
    <t>mov [w0 + #PreShift], w2</t>
  </si>
  <si>
    <t>mov [w0 + #PostShiftA], w6</t>
  </si>
  <si>
    <t>mov [w0 + #PostShiftB], w6</t>
  </si>
  <si>
    <t>mov [w0 + #MinOutput], w6</t>
  </si>
  <si>
    <t>mov [w0 + #MaxOutput], w6</t>
  </si>
  <si>
    <t>mov [w0 + #ptrADCTriggerARegister], w8</t>
  </si>
  <si>
    <t>mov [w0 + #ptrADCTriggerBRegister], w8</t>
  </si>
  <si>
    <t>mov [w0 + #ADCTriggerAOffset], w8</t>
  </si>
  <si>
    <t>mov [w0 + #ADCTriggerBOffset], w8</t>
  </si>
  <si>
    <t>mov [w0 + #ptrDProvControlInput], w2</t>
  </si>
  <si>
    <t>mov [w0 + #ptrDProvControlError], w2</t>
  </si>
  <si>
    <t>mov [w0 + #ptrDProvControlOutput], w2</t>
  </si>
  <si>
    <t>mov [w0 + #ptrCascadedFunction], w1</t>
  </si>
  <si>
    <t>mov [w0 + #CascadedFunParam], w0</t>
  </si>
  <si>
    <t>mov [w0 + #agcGainModScaler], w2</t>
  </si>
  <si>
    <t>mov w2, [w0 + #agcGainModFactor]</t>
  </si>
  <si>
    <t xml:space="preserve">mov [w0 + #agcGainModFactor], w4  </t>
  </si>
  <si>
    <t>mov [w0 + #agcGainModMedian], w4</t>
  </si>
  <si>
    <t>mov [w0 + SourceNormShift], w3</t>
  </si>
  <si>
    <t>mov [w0 + AltSourceNormShift], w3</t>
  </si>
  <si>
    <t>.equ	Status, 0</t>
  </si>
  <si>
    <t>mov [w0 + #Status], w12</t>
  </si>
  <si>
    <t>mov w12, [w0 + #Status]</t>
  </si>
  <si>
    <t>mov [w0 + #ptrCtrlReference], w2</t>
  </si>
  <si>
    <t>bra %PREFIXU%_BYPASS_AGC</t>
  </si>
  <si>
    <t>%PREFIXU%_BYPASS_AGC:</t>
  </si>
  <si>
    <t>btss w12, #NPMZ16_STATUS_AGC_ENABLED</t>
  </si>
  <si>
    <t>bit position of the AGC_ENABLED control bit</t>
  </si>
  <si>
    <t>.equ NPNZ16_STATUS_ENABLED,      15</t>
  </si>
  <si>
    <t>.equ NPNZ16_STATUS_AGC_ENABLED,  11</t>
  </si>
  <si>
    <t>.equ NPNZ16_STATUS_ENABLED, 15</t>
  </si>
  <si>
    <t>btss w12, #NPNZ16_STATUS_ENABLED</t>
  </si>
  <si>
    <t>mov [w0 + #PostScaler],  w6</t>
  </si>
  <si>
    <t>load B-coefficients post bit-shift scaler value into working register</t>
  </si>
  <si>
    <t>shift accumulator B by number of bits loaded in working register</t>
  </si>
  <si>
    <t>03/27/2020;2.0.1;Separated controller input and output port definitions in individual data structures with normalization parameters</t>
  </si>
  <si>
    <t>load default value of DSP core configuration enabling saturation and signed fractional multiply</t>
  </si>
  <si>
    <t>load default configuration into CORCON register</t>
  </si>
  <si>
    <t>update value of the status word in data structure</t>
  </si>
  <si>
    <t>half control output by shifting value one bit to the right</t>
  </si>
  <si>
    <t>load user-defined ADC trigger A offset value into working register</t>
  </si>
  <si>
    <t>add user-defined ADC trigger A offset to half of control output</t>
  </si>
  <si>
    <t>load pointer to ADC trigger A register into working register</t>
  </si>
  <si>
    <t>push new ADC trigger value to ADC trigger B register</t>
  </si>
  <si>
    <t>load pointer to ADC trigger B register into working register</t>
  </si>
  <si>
    <t>add user-defined ADC trigger B offset to half of control output</t>
  </si>
  <si>
    <t>load user-defined ADC trigger B offset value into working register</t>
  </si>
  <si>
    <t>push new ADC trigger value to ADC trigger A register</t>
  </si>
  <si>
    <t>restore contents of working register WREG0</t>
  </si>
  <si>
    <t>set pointer to the base address of control history array</t>
  </si>
  <si>
    <t>clear last address of control history array</t>
  </si>
  <si>
    <t>clear next address of control history array</t>
  </si>
  <si>
    <t>set pointer to the base address of error history array</t>
  </si>
  <si>
    <t>load user value into last address of error history array</t>
  </si>
  <si>
    <t>restore contents of working register WREG1</t>
  </si>
  <si>
    <t>save contents of working register WREG0</t>
  </si>
  <si>
    <t>save contents of working register WREG1</t>
  </si>
  <si>
    <t>clear last address of error history array</t>
  </si>
  <si>
    <t>save contents of working register WREG2</t>
  </si>
  <si>
    <t>restore contents of working register WREG2</t>
  </si>
  <si>
    <t>load value of status word into working register</t>
  </si>
  <si>
    <t>if ENABLED bit is cleared, jump to end of control code</t>
  </si>
  <si>
    <t>check ENABLED bit state, skip (do not execute) next instruction if set</t>
  </si>
  <si>
    <t>shift accumulator A by number of bits loaded in working register</t>
  </si>
  <si>
    <t>load A-coefficients post bit-shift scaler value into working register</t>
  </si>
  <si>
    <t>load post scaler fractional value into working register</t>
  </si>
  <si>
    <t>multiply control output by scaler value loaded into working register</t>
  </si>
  <si>
    <t>load value of saved accumulator upper word into accumulator A</t>
  </si>
  <si>
    <t>load value of saved accumulator high word into accumulator A</t>
  </si>
  <si>
    <t>load value of saved accumulator low word into accumulator A</t>
  </si>
  <si>
    <t>load value of saved accumulator upper word into accumulator B</t>
  </si>
  <si>
    <t>load value of saved accumulator high word into accumulator B</t>
  </si>
  <si>
    <t>load value of saved accumulator low word into accumulator B</t>
  </si>
  <si>
    <t>store value of accumulator B upper word into data structure</t>
  </si>
  <si>
    <t>store value of accumulator B high word into data structure</t>
  </si>
  <si>
    <t>store value of accumulator B low word into data structure</t>
  </si>
  <si>
    <t>store value of accumulator A upper word into data structure</t>
  </si>
  <si>
    <t>store value of accumulator A high word into data structure</t>
  </si>
  <si>
    <t>store value of accumulator A low word into data structure</t>
  </si>
  <si>
    <t>mov [w0 + #ACCxU], accbu</t>
  </si>
  <si>
    <t>mov [w0 + #ACCxH], accbh</t>
  </si>
  <si>
    <t>mov [w0 + #ACCxL], accbl</t>
  </si>
  <si>
    <t>mov [w0 + #ACCxU], accau</t>
  </si>
  <si>
    <t>mov [w0 + #ACCxH], accah</t>
  </si>
  <si>
    <t>mov [w0 + #ACCxL], accal</t>
  </si>
  <si>
    <t>mov [w0 + #ssmFactor], w6</t>
  </si>
  <si>
    <t>parameter group GainControl: Q15 value of Adaptive Gain Control Modulation factor</t>
  </si>
  <si>
    <t>parameter group GainControl: Q15 value of Adaptive Gain Control Modulation norminal operating point</t>
  </si>
  <si>
    <t>parameter group GainControl: bit-shift scaler of Adaptive Gain Control Modulation factor</t>
  </si>
  <si>
    <t>03/24/2020;1.3.5;Added Adaptive Gain Control Modulation factors to cNPNZ_t data structure</t>
  </si>
  <si>
    <t>03/25/2020;1.3.9;Added Adaptive Gain Control Modulation to single.bit shifted, dual bit shifted and output factor scaling modes</t>
  </si>
  <si>
    <t>repeat #[%P33C%$5][%P33E%$17][%P33F%$17]</t>
  </si>
  <si>
    <t>divf w4, w6</t>
  </si>
  <si>
    <t>parameter group Filter: value of B-term normalization bit-shift scaler</t>
  </si>
  <si>
    <t>03/30/2020;2.0.2;Polished comments</t>
  </si>
  <si>
    <t>parameter group ADCTriggerControl: pointer to ADC trigger A register memory address</t>
  </si>
  <si>
    <t>parameter group ADCTriggerControl: value of ADC trigger A offset</t>
  </si>
  <si>
    <t>parameter group ADCTriggerControl: pointer to ADC trigger B register memory address</t>
  </si>
  <si>
    <t>parameter group ADCTriggerControl: value of ADC trigger B offset</t>
  </si>
  <si>
    <t>;Instruction blockset for controllers using 16-bit fixed point coefficients scaled with one common single bit-shift scaler</t>
  </si>
  <si>
    <t>[pterm_function_head]</t>
  </si>
  <si>
    <t>pterm_function_head</t>
  </si>
  <si>
    <t>[pterm_comp_load_gain_factor]</t>
  </si>
  <si>
    <t>%SEPARATOR%; Load P-gain factor from data structure</t>
  </si>
  <si>
    <t>move P-coefficient fractional into working register</t>
  </si>
  <si>
    <t>move P-coefficient scaler into working register</t>
  </si>
  <si>
    <t>mov w1, w4</t>
  </si>
  <si>
    <t xml:space="preserve">move error to MPY working register </t>
  </si>
  <si>
    <t>multiply most recent error with P-coefficient</t>
  </si>
  <si>
    <t>store accumulator result to working register</t>
  </si>
  <si>
    <t>[pterm_comp_exec_pterm]</t>
  </si>
  <si>
    <t>pterm_comp_exec_pterm</t>
  </si>
  <si>
    <t>pterm_comp_load_gain_factor</t>
  </si>
  <si>
    <t>bra %PREFIXU%_LOOP_BYPASS</t>
  </si>
  <si>
    <t>%PREFIXU%_LOOP_BYPASS:</t>
  </si>
  <si>
    <t>goto %PREFIXU%_LOOP_EXIT</t>
  </si>
  <si>
    <t>%PREFIXU%_LOOP_EXIT:</t>
  </si>
  <si>
    <t>[enable_disable_end_pterm]</t>
  </si>
  <si>
    <t>%PREFIXU%_PTERM_LOOP_BYPASS:</t>
  </si>
  <si>
    <t>[enable_disable_end_dummy_read_end_pterm]</t>
  </si>
  <si>
    <t xml:space="preserve">Exit P-Term control loop branch target </t>
  </si>
  <si>
    <t>%PREFIXU%_PTERM_LOOP_EXIT:</t>
  </si>
  <si>
    <t>[enable_disable_end_dummy_read_pterm]</t>
  </si>
  <si>
    <t>goto %PREFIXU%_PTERM_LOOP_EXIT</t>
  </si>
  <si>
    <t>[enable_disable_start_pterm]</t>
  </si>
  <si>
    <t>%SEPARATOR%; Check status word for Enable/Disable flag and bypass computation when disabled</t>
  </si>
  <si>
    <t>bra %PREFIXU%_PTERM_LOOP_BYPASS</t>
  </si>
  <si>
    <t>enable_disable_end_dummy_read_pterm</t>
  </si>
  <si>
    <t>enable_disable_end_pterm</t>
  </si>
  <si>
    <t>enable_disable_end_dummy_read_end_pterm</t>
  </si>
  <si>
    <t>enable_disable_start_pterm</t>
  </si>
  <si>
    <t>.global %PREFIXG%_PTermUpdate</t>
  </si>
  <si>
    <t>%PREFIXG%_PTermUpdate:</t>
  </si>
  <si>
    <t>03/31/2020;2.0.3;Added P-Term control loop  for plant measurement support</t>
  </si>
  <si>
    <t>%SEPARATOR%; Global function declaration %PREFIXG%_PTermUpdate\n; This function executes a P-term based control loop used for plant measurements only.\n; THIS LOOP IS NOT SUITED FOR STABLE OPERATION%SEPARATOR%</t>
  </si>
  <si>
    <t>; calculate P-control result</t>
  </si>
  <si>
    <t>[tokens]</t>
  </si>
  <si>
    <t>%SPACE%</t>
  </si>
  <si>
    <t>%IDENT%</t>
  </si>
  <si>
    <t>%DATA_TYPE_FRACTIONAL%</t>
  </si>
  <si>
    <t>%DATA_TYPE_INT32%</t>
  </si>
  <si>
    <t>%FILE_NAME_PATTERN%</t>
  </si>
  <si>
    <t>%PREFIX%</t>
  </si>
  <si>
    <t>%FILTER_ORDER%</t>
  </si>
  <si>
    <t>%FILTER_ORDER+1%</t>
  </si>
  <si>
    <t>%STRUCTURE_LABEL%</t>
  </si>
  <si>
    <t>%CGS_VERSION%</t>
  </si>
  <si>
    <t>%CGS_VERSION_DATE%</t>
  </si>
  <si>
    <t>%APP_PRODUCT_NAME%</t>
  </si>
  <si>
    <t>%APP_PRODUCT_VERSION%</t>
  </si>
  <si>
    <t>%SUPPORT_URL%</t>
  </si>
  <si>
    <t>%VENDOR_URL%</t>
  </si>
  <si>
    <t>%TOOL_HOME_URL%</t>
  </si>
  <si>
    <t>[option_ids]</t>
  </si>
  <si>
    <t>04/03/2020;2.0.4;option_token_test</t>
  </si>
  <si>
    <t>token_id</t>
  </si>
  <si>
    <t>token_key</t>
  </si>
  <si>
    <t>context_management</t>
  </si>
  <si>
    <t>context_shadow</t>
  </si>
  <si>
    <t>context_mac_wreg</t>
  </si>
  <si>
    <t>context_acc</t>
  </si>
  <si>
    <t>context_acc_a</t>
  </si>
  <si>
    <t>context_acc_b</t>
  </si>
  <si>
    <t>context_core_config</t>
  </si>
  <si>
    <t>context_core_status</t>
  </si>
  <si>
    <t>option_core_config</t>
  </si>
  <si>
    <t>option_enable_switch</t>
  </si>
  <si>
    <t>option_enable_switch_always_read</t>
  </si>
  <si>
    <t>option_error_normalization</t>
  </si>
  <si>
    <t>option_adc_trigger_a_placement</t>
  </si>
  <si>
    <t>option_adc_trigger_b_placement</t>
  </si>
  <si>
    <t>option_cascade_call</t>
  </si>
  <si>
    <t>data_interface_alt_input</t>
  </si>
  <si>
    <t>data_interface_alt_output</t>
  </si>
  <si>
    <t>data_provider_control_input</t>
  </si>
  <si>
    <t>data_provider_control_error</t>
  </si>
  <si>
    <t>data_provider_control_output</t>
  </si>
  <si>
    <t>anti_windup_soft_desat_flag</t>
  </si>
  <si>
    <t>bi_directional_feedback_flag</t>
  </si>
  <si>
    <t>feedback_offset_compensation</t>
  </si>
  <si>
    <t>option_add_p-term</t>
  </si>
  <si>
    <t>04/03/2020;2.0.5;Added Token IDs for enahanced code generator option support</t>
  </si>
  <si>
    <t>2.0.6</t>
  </si>
  <si>
    <t>04/03/2020;2.0.6;Added Token IDs for enhanced code generator option support</t>
  </si>
  <si>
    <t>4,6,8,10,12</t>
  </si>
  <si>
    <t>option_enable</t>
  </si>
  <si>
    <t>data_interface_enable</t>
  </si>
  <si>
    <t>data_provider_enable</t>
  </si>
  <si>
    <t>anti_windup_enable</t>
  </si>
  <si>
    <t>feedback_conditioning_enable</t>
  </si>
  <si>
    <t>agc_enable</t>
  </si>
  <si>
    <t>option_store_reload_acc</t>
  </si>
  <si>
    <t>anti_windup_max_status_flag</t>
  </si>
  <si>
    <t>anti_windup_min_status_flag</t>
  </si>
  <si>
    <t>agc_enable_switch</t>
  </si>
  <si>
    <t>agc_get_factor_function_call</t>
  </si>
  <si>
    <t>4,5,6,8,10,12</t>
  </si>
  <si>
    <t>anti_windup_max_start</t>
  </si>
  <si>
    <t>anti_windup_max_options_start</t>
  </si>
  <si>
    <t>anti_windup_max_clear_status_flag</t>
  </si>
  <si>
    <t>anti_windup_max_options_override_bypass</t>
  </si>
  <si>
    <t>anti_windup_max_options_override_start</t>
  </si>
  <si>
    <t>anti_windup_max_override</t>
  </si>
  <si>
    <t>anti_windup_soft_desaturation</t>
  </si>
  <si>
    <t>anti_windup_max_set_status_flag</t>
  </si>
  <si>
    <t>anti_windup_max_options_end</t>
  </si>
  <si>
    <t>anti_windup_min_clear_status_flag</t>
  </si>
  <si>
    <t>anti_windup_min_options_start</t>
  </si>
  <si>
    <t>anti_windup_min_options_override_bypass</t>
  </si>
  <si>
    <t>anti_windup_min_options_override_start</t>
  </si>
  <si>
    <t>anti_windup_min_override</t>
  </si>
  <si>
    <t>anti_windup_min_set_status_flag</t>
  </si>
  <si>
    <t>anti_windup_min_options_end</t>
  </si>
  <si>
    <t>anti_windup_min_start</t>
  </si>
  <si>
    <t>[anti_windup_max_options_start_pterm]</t>
  </si>
  <si>
    <t>bra %PREFIXU%_PTERM_CLAMP_MAX_OVERRIDE</t>
  </si>
  <si>
    <t>[anti_windup_max_options_override_bypass_pterm]</t>
  </si>
  <si>
    <t>bra %PREFIXU%_PTERM_CLAMP_MAX_EXIT</t>
  </si>
  <si>
    <t>[anti_windup_max_options_override_start_pterm]</t>
  </si>
  <si>
    <t>%PREFIXU%_PTERM_CLAMP_MAX_OVERRIDE:</t>
  </si>
  <si>
    <t>[anti_windup_max_options_end_pterm]</t>
  </si>
  <si>
    <t>%PREFIXU%_PTERM_CLAMP_MAX_EXIT:</t>
  </si>
  <si>
    <t>anti_windup_min_options_end_pterm</t>
  </si>
  <si>
    <t>[anti_windup_min_options_start_pterm]</t>
  </si>
  <si>
    <t>bra %PREFIXU%_PTERM_CLAMP_MIN_OVERRIDE</t>
  </si>
  <si>
    <t>[anti_windup_min_options_override_bypass_pterm]</t>
  </si>
  <si>
    <t>bra %PREFIXU%_PTERM_CLAMP_MIN_EXIT</t>
  </si>
  <si>
    <t>[anti_windup_min_options_override_start_pterm]</t>
  </si>
  <si>
    <t>%PREFIXU%_PTERM_CLAMP_MIN_OVERRIDE:</t>
  </si>
  <si>
    <t>[anti_windup_min_options_end_pterm]</t>
  </si>
  <si>
    <t>%PREFIXU%_PTERM_CLAMP_MIN_EXIT:</t>
  </si>
  <si>
    <t>anti_windup_min_options_override_start_pterm</t>
  </si>
  <si>
    <t>anti_windup_min_options_override_bypass_pterm</t>
  </si>
  <si>
    <t>anti_windup_min_options_start_pterm</t>
  </si>
  <si>
    <t>anti_windup_max_options_end_pterm</t>
  </si>
  <si>
    <t>anti_windup_max_options_override_start_pterm</t>
  </si>
  <si>
    <t>anti_windup_max_options_override_bypass_pterm</t>
  </si>
  <si>
    <t>anti_windup_max_options_start_pterm</t>
  </si>
  <si>
    <t>clear most recent error</t>
  </si>
  <si>
    <t>code50</t>
  </si>
  <si>
    <t>code51</t>
  </si>
  <si>
    <t>comment50</t>
  </si>
  <si>
    <t>comment51</t>
  </si>
  <si>
    <t>parameter group Filter: P-Term coefficient scaler</t>
  </si>
  <si>
    <t>parameter group Filter: P-Term coefficient fractional factor</t>
  </si>
  <si>
    <t>mov [w0 + #pterm_factor], w6</t>
  </si>
  <si>
    <t xml:space="preserve">mov [w0 + #pterm_scaler], w5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</si>
</sst>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>
      <alignment wrapText="1"/>
    </xf>
    <xf numFmtId="0" fontId="2" fillId="2" borderId="3" xfId="0" applyFont="1" applyFill="1" applyBorder="1" applyAlignment="1">
      <alignment horizontal="left"/>
    </xf>
    <xf numFmtId="0" fontId="6" fillId="4" borderId="2" xfId="0" applyFont="1" applyFill="1" applyBorder="1"/>
    <xf numFmtId="0" fontId="7" fillId="0" borderId="2" xfId="0" applyFont="1" applyBorder="1"/>
    <xf numFmtId="0" fontId="5" fillId="0" borderId="0" xfId="0" applyFont="1"/>
    <xf numFmtId="0" fontId="5" fillId="0" borderId="0" xfId="0" applyFont="1" applyAlignment="1">
      <alignment horizontal="left"/>
    </xf>
    <xf numFmtId="0" fontId="0" fillId="3" borderId="4" xfId="0" applyFill="1" applyBorder="1"/>
    <xf numFmtId="0" fontId="2" fillId="3" borderId="4" xfId="0" applyFont="1" applyFill="1" applyBorder="1"/>
    <xf numFmtId="0" fontId="5" fillId="3" borderId="4" xfId="0" applyFont="1" applyFill="1" applyBorder="1"/>
    <xf numFmtId="0" fontId="2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65"/>
  <sheetViews>
    <sheetView workbookViewId="0"/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183</v>
      </c>
      <c r="B1" s="5"/>
      <c r="C1" s="5"/>
    </row>
    <row r="2" spans="1:3" x14ac:dyDescent="0.25">
      <c r="A2" s="4" t="s">
        <v>184</v>
      </c>
      <c r="B2" s="8" t="s">
        <v>1</v>
      </c>
      <c r="C2" s="1" t="s">
        <v>185</v>
      </c>
    </row>
    <row r="3" spans="1:3" x14ac:dyDescent="0.25">
      <c r="A3" s="4" t="s">
        <v>186</v>
      </c>
      <c r="B3" s="8" t="s">
        <v>1</v>
      </c>
      <c r="C3" s="1" t="s">
        <v>728</v>
      </c>
    </row>
    <row r="4" spans="1:3" x14ac:dyDescent="0.25">
      <c r="A4" s="4" t="s">
        <v>187</v>
      </c>
      <c r="B4" s="8" t="s">
        <v>1</v>
      </c>
      <c r="C4" s="1" t="s">
        <v>639</v>
      </c>
    </row>
    <row r="5" spans="1:3" x14ac:dyDescent="0.25">
      <c r="A5" s="4" t="s">
        <v>188</v>
      </c>
      <c r="B5" s="8" t="s">
        <v>1</v>
      </c>
      <c r="C5" s="1" t="s">
        <v>1029</v>
      </c>
    </row>
    <row r="6" spans="1:3" x14ac:dyDescent="0.25">
      <c r="A6" s="4" t="s">
        <v>189</v>
      </c>
      <c r="B6" s="8" t="s">
        <v>1</v>
      </c>
      <c r="C6" s="3">
        <v>43924</v>
      </c>
    </row>
    <row r="8" spans="1:3" s="7" customFormat="1" ht="15.75" x14ac:dyDescent="0.3">
      <c r="A8" s="5" t="s">
        <v>190</v>
      </c>
      <c r="B8" s="5"/>
      <c r="C8" s="5"/>
    </row>
    <row r="9" spans="1:3" x14ac:dyDescent="0.25">
      <c r="A9" s="4" t="s">
        <v>76</v>
      </c>
      <c r="B9" s="8" t="s">
        <v>1</v>
      </c>
      <c r="C9" s="9">
        <f>COUNTA(A10:A31)</f>
        <v>21</v>
      </c>
    </row>
    <row r="10" spans="1:3" x14ac:dyDescent="0.25">
      <c r="A10" s="4">
        <v>0</v>
      </c>
      <c r="B10" s="8" t="s">
        <v>1</v>
      </c>
      <c r="C10" s="1" t="s">
        <v>204</v>
      </c>
    </row>
    <row r="11" spans="1:3" x14ac:dyDescent="0.25">
      <c r="A11" s="4">
        <v>1</v>
      </c>
      <c r="B11" s="8" t="s">
        <v>1</v>
      </c>
      <c r="C11" s="1" t="s">
        <v>203</v>
      </c>
    </row>
    <row r="12" spans="1:3" x14ac:dyDescent="0.25">
      <c r="A12" s="4">
        <v>2</v>
      </c>
      <c r="B12" s="8" t="s">
        <v>1</v>
      </c>
      <c r="C12" s="1" t="s">
        <v>202</v>
      </c>
    </row>
    <row r="13" spans="1:3" x14ac:dyDescent="0.25">
      <c r="A13" s="4">
        <v>3</v>
      </c>
      <c r="B13" s="8" t="s">
        <v>1</v>
      </c>
      <c r="C13" s="1" t="s">
        <v>201</v>
      </c>
    </row>
    <row r="14" spans="1:3" x14ac:dyDescent="0.25">
      <c r="A14" s="4">
        <v>4</v>
      </c>
      <c r="B14" s="8" t="s">
        <v>1</v>
      </c>
      <c r="C14" s="1" t="s">
        <v>200</v>
      </c>
    </row>
    <row r="15" spans="1:3" x14ac:dyDescent="0.25">
      <c r="A15" s="4">
        <v>5</v>
      </c>
      <c r="B15" s="8" t="s">
        <v>1</v>
      </c>
      <c r="C15" s="1" t="s">
        <v>199</v>
      </c>
    </row>
    <row r="16" spans="1:3" x14ac:dyDescent="0.25">
      <c r="A16" s="4">
        <v>6</v>
      </c>
      <c r="B16" s="8" t="s">
        <v>1</v>
      </c>
      <c r="C16" s="1" t="s">
        <v>198</v>
      </c>
    </row>
    <row r="17" spans="1:3" x14ac:dyDescent="0.25">
      <c r="A17" s="4">
        <v>7</v>
      </c>
      <c r="B17" s="8" t="s">
        <v>1</v>
      </c>
      <c r="C17" s="1" t="s">
        <v>641</v>
      </c>
    </row>
    <row r="18" spans="1:3" x14ac:dyDescent="0.25">
      <c r="A18" s="4">
        <v>8</v>
      </c>
      <c r="B18" s="8" t="s">
        <v>1</v>
      </c>
      <c r="C18" s="1" t="s">
        <v>646</v>
      </c>
    </row>
    <row r="19" spans="1:3" x14ac:dyDescent="0.25">
      <c r="A19" s="4">
        <v>9</v>
      </c>
      <c r="B19" s="8" t="s">
        <v>1</v>
      </c>
      <c r="C19" s="1" t="s">
        <v>647</v>
      </c>
    </row>
    <row r="20" spans="1:3" x14ac:dyDescent="0.25">
      <c r="A20" s="4">
        <v>10</v>
      </c>
      <c r="B20" s="8" t="s">
        <v>1</v>
      </c>
      <c r="C20" s="1" t="s">
        <v>648</v>
      </c>
    </row>
    <row r="21" spans="1:3" x14ac:dyDescent="0.25">
      <c r="A21" s="4">
        <v>11</v>
      </c>
      <c r="B21" s="8" t="s">
        <v>1</v>
      </c>
      <c r="C21" s="1" t="s">
        <v>936</v>
      </c>
    </row>
    <row r="22" spans="1:3" x14ac:dyDescent="0.25">
      <c r="A22" s="4">
        <v>12</v>
      </c>
      <c r="B22" s="8" t="s">
        <v>1</v>
      </c>
      <c r="C22" s="1" t="s">
        <v>674</v>
      </c>
    </row>
    <row r="23" spans="1:3" x14ac:dyDescent="0.25">
      <c r="A23" s="4">
        <v>13</v>
      </c>
      <c r="B23" s="8" t="s">
        <v>1</v>
      </c>
      <c r="C23" s="1" t="s">
        <v>937</v>
      </c>
    </row>
    <row r="24" spans="1:3" x14ac:dyDescent="0.25">
      <c r="A24" s="4">
        <v>14</v>
      </c>
      <c r="B24" s="8" t="s">
        <v>1</v>
      </c>
      <c r="C24" s="1" t="s">
        <v>730</v>
      </c>
    </row>
    <row r="25" spans="1:3" x14ac:dyDescent="0.25">
      <c r="A25" s="4">
        <v>15</v>
      </c>
      <c r="B25" s="8" t="s">
        <v>1</v>
      </c>
      <c r="C25" s="1" t="s">
        <v>882</v>
      </c>
    </row>
    <row r="26" spans="1:3" x14ac:dyDescent="0.25">
      <c r="A26" s="4">
        <v>16</v>
      </c>
      <c r="B26" s="8" t="s">
        <v>1</v>
      </c>
      <c r="C26" s="1" t="s">
        <v>941</v>
      </c>
    </row>
    <row r="27" spans="1:3" x14ac:dyDescent="0.25">
      <c r="A27" s="4">
        <v>17</v>
      </c>
      <c r="B27" s="8" t="s">
        <v>1</v>
      </c>
      <c r="C27" s="1" t="s">
        <v>980</v>
      </c>
    </row>
    <row r="28" spans="1:3" x14ac:dyDescent="0.25">
      <c r="A28" s="4">
        <v>18</v>
      </c>
      <c r="B28" s="8" t="s">
        <v>1</v>
      </c>
      <c r="C28" s="1" t="s">
        <v>1001</v>
      </c>
    </row>
    <row r="29" spans="1:3" x14ac:dyDescent="0.25">
      <c r="A29" s="4">
        <v>19</v>
      </c>
      <c r="B29" s="8" t="s">
        <v>1</v>
      </c>
      <c r="C29" s="1" t="s">
        <v>1028</v>
      </c>
    </row>
    <row r="30" spans="1:3" x14ac:dyDescent="0.25">
      <c r="A30" s="4">
        <v>20</v>
      </c>
      <c r="B30" s="8" t="s">
        <v>1</v>
      </c>
      <c r="C30" s="1" t="s">
        <v>1030</v>
      </c>
    </row>
    <row r="32" spans="1:3" s="7" customFormat="1" ht="15.75" x14ac:dyDescent="0.3">
      <c r="A32" s="5" t="s">
        <v>191</v>
      </c>
      <c r="B32" s="5"/>
      <c r="C32" s="5"/>
    </row>
    <row r="33" spans="1:3" x14ac:dyDescent="0.25">
      <c r="A33" s="4" t="s">
        <v>76</v>
      </c>
      <c r="B33" s="8" t="s">
        <v>1</v>
      </c>
      <c r="C33" s="9">
        <f>COUNTA(A34:A40)</f>
        <v>6</v>
      </c>
    </row>
    <row r="34" spans="1:3" x14ac:dyDescent="0.25">
      <c r="A34" s="4">
        <v>0</v>
      </c>
      <c r="B34" s="8" t="s">
        <v>1</v>
      </c>
      <c r="C34" s="1" t="s">
        <v>192</v>
      </c>
    </row>
    <row r="35" spans="1:3" x14ac:dyDescent="0.25">
      <c r="A35" s="4">
        <v>1</v>
      </c>
      <c r="B35" s="8" t="s">
        <v>1</v>
      </c>
      <c r="C35" s="1" t="s">
        <v>193</v>
      </c>
    </row>
    <row r="36" spans="1:3" x14ac:dyDescent="0.25">
      <c r="A36" s="4">
        <v>2</v>
      </c>
      <c r="B36" s="8" t="s">
        <v>1</v>
      </c>
      <c r="C36" s="1" t="s">
        <v>194</v>
      </c>
    </row>
    <row r="37" spans="1:3" x14ac:dyDescent="0.25">
      <c r="A37" s="4">
        <v>3</v>
      </c>
      <c r="B37" s="8" t="s">
        <v>1</v>
      </c>
      <c r="C37" s="1" t="s">
        <v>195</v>
      </c>
    </row>
    <row r="38" spans="1:3" x14ac:dyDescent="0.25">
      <c r="A38" s="4">
        <v>4</v>
      </c>
      <c r="B38" s="8" t="s">
        <v>1</v>
      </c>
      <c r="C38" s="1" t="s">
        <v>196</v>
      </c>
    </row>
    <row r="39" spans="1:3" x14ac:dyDescent="0.25">
      <c r="A39" s="4">
        <v>5</v>
      </c>
      <c r="B39" s="8" t="s">
        <v>1</v>
      </c>
      <c r="C39" s="1" t="s">
        <v>197</v>
      </c>
    </row>
    <row r="41" spans="1:3" s="7" customFormat="1" ht="15.75" x14ac:dyDescent="0.3">
      <c r="A41" s="5" t="s">
        <v>205</v>
      </c>
      <c r="B41" s="5"/>
      <c r="C41" s="5"/>
    </row>
    <row r="42" spans="1:3" x14ac:dyDescent="0.25">
      <c r="A42" s="4" t="s">
        <v>193</v>
      </c>
      <c r="B42" s="8" t="s">
        <v>1</v>
      </c>
      <c r="C42" s="1" t="s">
        <v>206</v>
      </c>
    </row>
    <row r="43" spans="1:3" x14ac:dyDescent="0.25">
      <c r="A43" s="4" t="s">
        <v>194</v>
      </c>
      <c r="B43" s="8" t="s">
        <v>1</v>
      </c>
      <c r="C43" s="1" t="s">
        <v>207</v>
      </c>
    </row>
    <row r="44" spans="1:3" x14ac:dyDescent="0.25">
      <c r="A44" s="4" t="s">
        <v>195</v>
      </c>
      <c r="B44" s="8" t="s">
        <v>1</v>
      </c>
      <c r="C44" s="1" t="s">
        <v>640</v>
      </c>
    </row>
    <row r="45" spans="1:3" x14ac:dyDescent="0.25">
      <c r="A45" s="4" t="s">
        <v>196</v>
      </c>
      <c r="B45" s="8" t="s">
        <v>1</v>
      </c>
      <c r="C45" s="1" t="s">
        <v>208</v>
      </c>
    </row>
    <row r="46" spans="1:3" x14ac:dyDescent="0.25">
      <c r="A46" s="4" t="s">
        <v>197</v>
      </c>
      <c r="B46" s="8" t="s">
        <v>1</v>
      </c>
      <c r="C46" s="1" t="s">
        <v>209</v>
      </c>
    </row>
    <row r="48" spans="1:3" s="7" customFormat="1" ht="15.75" x14ac:dyDescent="0.3">
      <c r="A48" s="5" t="s">
        <v>729</v>
      </c>
      <c r="B48" s="5"/>
      <c r="C48" s="5"/>
    </row>
    <row r="49" spans="1:3" x14ac:dyDescent="0.25">
      <c r="A49" s="4" t="s">
        <v>210</v>
      </c>
      <c r="B49" s="8" t="s">
        <v>1</v>
      </c>
      <c r="C49" s="2">
        <v>4</v>
      </c>
    </row>
    <row r="50" spans="1:3" x14ac:dyDescent="0.25">
      <c r="A50" s="4" t="s">
        <v>211</v>
      </c>
      <c r="B50" s="8" t="s">
        <v>1</v>
      </c>
      <c r="C50" s="2">
        <v>4</v>
      </c>
    </row>
    <row r="51" spans="1:3" x14ac:dyDescent="0.25">
      <c r="A51" s="4" t="s">
        <v>212</v>
      </c>
      <c r="B51" s="8" t="s">
        <v>1</v>
      </c>
      <c r="C51" s="2">
        <v>4</v>
      </c>
    </row>
    <row r="52" spans="1:3" x14ac:dyDescent="0.25">
      <c r="A52" s="4" t="s">
        <v>213</v>
      </c>
      <c r="B52" s="8" t="s">
        <v>1</v>
      </c>
      <c r="C52" s="2">
        <v>4</v>
      </c>
    </row>
    <row r="53" spans="1:3" x14ac:dyDescent="0.25">
      <c r="A53" s="4" t="s">
        <v>214</v>
      </c>
      <c r="B53" s="8" t="s">
        <v>1</v>
      </c>
      <c r="C53" s="2">
        <v>4</v>
      </c>
    </row>
    <row r="54" spans="1:3" x14ac:dyDescent="0.25">
      <c r="C54" s="2"/>
    </row>
    <row r="55" spans="1:3" s="7" customFormat="1" ht="15.75" x14ac:dyDescent="0.3">
      <c r="A55" s="5" t="s">
        <v>731</v>
      </c>
      <c r="B55" s="5"/>
      <c r="C55" s="5"/>
    </row>
    <row r="56" spans="1:3" x14ac:dyDescent="0.25">
      <c r="A56" s="4" t="s">
        <v>210</v>
      </c>
      <c r="B56" s="8" t="s">
        <v>1</v>
      </c>
      <c r="C56" s="2">
        <v>2</v>
      </c>
    </row>
    <row r="57" spans="1:3" x14ac:dyDescent="0.25">
      <c r="A57" s="4" t="s">
        <v>211</v>
      </c>
      <c r="B57" s="8" t="s">
        <v>1</v>
      </c>
      <c r="C57" s="2">
        <v>2</v>
      </c>
    </row>
    <row r="58" spans="1:3" x14ac:dyDescent="0.25">
      <c r="A58" s="4" t="s">
        <v>212</v>
      </c>
      <c r="B58" s="8" t="s">
        <v>1</v>
      </c>
      <c r="C58" s="2">
        <v>2</v>
      </c>
    </row>
    <row r="59" spans="1:3" x14ac:dyDescent="0.25">
      <c r="A59" s="4" t="s">
        <v>213</v>
      </c>
      <c r="B59" s="8" t="s">
        <v>1</v>
      </c>
      <c r="C59" s="2">
        <v>2</v>
      </c>
    </row>
    <row r="60" spans="1:3" x14ac:dyDescent="0.25">
      <c r="A60" s="4" t="s">
        <v>214</v>
      </c>
      <c r="B60" s="8" t="s">
        <v>1</v>
      </c>
      <c r="C60" s="2">
        <v>2</v>
      </c>
    </row>
    <row r="61" spans="1:3" x14ac:dyDescent="0.25">
      <c r="C61" s="2"/>
    </row>
    <row r="62" spans="1:3" s="7" customFormat="1" ht="15.75" x14ac:dyDescent="0.3">
      <c r="A62" s="5" t="s">
        <v>215</v>
      </c>
      <c r="B62" s="5"/>
      <c r="C62" s="5"/>
    </row>
    <row r="63" spans="1:3" x14ac:dyDescent="0.25">
      <c r="A63" s="4" t="s">
        <v>216</v>
      </c>
      <c r="B63" s="8" t="s">
        <v>1</v>
      </c>
      <c r="C63" s="1" t="s">
        <v>217</v>
      </c>
    </row>
    <row r="64" spans="1:3" x14ac:dyDescent="0.25">
      <c r="A64" s="4" t="s">
        <v>218</v>
      </c>
      <c r="B64" s="8" t="s">
        <v>1</v>
      </c>
      <c r="C64" s="1" t="s">
        <v>219</v>
      </c>
    </row>
    <row r="65" spans="1:3" x14ac:dyDescent="0.25">
      <c r="A65" s="4" t="s">
        <v>220</v>
      </c>
      <c r="B65" s="8" t="s">
        <v>1</v>
      </c>
      <c r="C65" s="1" t="s">
        <v>221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521C6-D2FF-485D-BCB2-5215069DB81D}">
  <dimension ref="A1:F59"/>
  <sheetViews>
    <sheetView topLeftCell="A25" workbookViewId="0">
      <selection activeCell="C39" sqref="C39"/>
    </sheetView>
  </sheetViews>
  <sheetFormatPr defaultRowHeight="15" x14ac:dyDescent="0.25"/>
  <cols>
    <col min="2" max="2" width="2.5703125" bestFit="1" customWidth="1"/>
    <col min="3" max="3" width="57.42578125" customWidth="1"/>
    <col min="5" max="5" width="17.140625" customWidth="1"/>
    <col min="6" max="6" width="52.28515625" customWidth="1"/>
  </cols>
  <sheetData>
    <row r="1" spans="1:3" s="7" customFormat="1" ht="15.75" x14ac:dyDescent="0.3">
      <c r="A1" s="5" t="s">
        <v>983</v>
      </c>
      <c r="B1" s="5"/>
      <c r="C1" s="5"/>
    </row>
    <row r="2" spans="1:3" x14ac:dyDescent="0.25">
      <c r="A2" s="4" t="s">
        <v>76</v>
      </c>
      <c r="B2" s="1" t="s">
        <v>1</v>
      </c>
      <c r="C2" s="9">
        <f>COUNTA(A2:A20)</f>
        <v>18</v>
      </c>
    </row>
    <row r="3" spans="1:3" x14ac:dyDescent="0.25">
      <c r="A3" s="4">
        <v>0</v>
      </c>
      <c r="B3" s="1" t="s">
        <v>1</v>
      </c>
      <c r="C3" s="1" t="s">
        <v>192</v>
      </c>
    </row>
    <row r="4" spans="1:3" x14ac:dyDescent="0.25">
      <c r="A4" s="4">
        <v>1</v>
      </c>
      <c r="B4" s="1" t="s">
        <v>1</v>
      </c>
      <c r="C4" s="1" t="s">
        <v>984</v>
      </c>
    </row>
    <row r="5" spans="1:3" x14ac:dyDescent="0.25">
      <c r="A5" s="4">
        <v>2</v>
      </c>
      <c r="B5" s="1" t="s">
        <v>1</v>
      </c>
      <c r="C5" s="1" t="s">
        <v>985</v>
      </c>
    </row>
    <row r="6" spans="1:3" x14ac:dyDescent="0.25">
      <c r="A6" s="4">
        <v>3</v>
      </c>
      <c r="B6" s="1" t="s">
        <v>1</v>
      </c>
      <c r="C6" s="1" t="s">
        <v>986</v>
      </c>
    </row>
    <row r="7" spans="1:3" x14ac:dyDescent="0.25">
      <c r="A7" s="4">
        <v>4</v>
      </c>
      <c r="B7" s="1" t="s">
        <v>1</v>
      </c>
      <c r="C7" s="1" t="s">
        <v>987</v>
      </c>
    </row>
    <row r="8" spans="1:3" x14ac:dyDescent="0.25">
      <c r="A8" s="4">
        <v>5</v>
      </c>
      <c r="B8" s="1" t="s">
        <v>1</v>
      </c>
      <c r="C8" s="1" t="s">
        <v>988</v>
      </c>
    </row>
    <row r="9" spans="1:3" x14ac:dyDescent="0.25">
      <c r="A9" s="4">
        <v>6</v>
      </c>
      <c r="B9" s="1" t="s">
        <v>1</v>
      </c>
      <c r="C9" s="1" t="s">
        <v>989</v>
      </c>
    </row>
    <row r="10" spans="1:3" x14ac:dyDescent="0.25">
      <c r="A10" s="4">
        <v>7</v>
      </c>
      <c r="B10" s="1" t="s">
        <v>1</v>
      </c>
      <c r="C10" s="1" t="s">
        <v>990</v>
      </c>
    </row>
    <row r="11" spans="1:3" x14ac:dyDescent="0.25">
      <c r="A11" s="4">
        <v>8</v>
      </c>
      <c r="B11" s="1" t="s">
        <v>1</v>
      </c>
      <c r="C11" s="1" t="s">
        <v>991</v>
      </c>
    </row>
    <row r="12" spans="1:3" x14ac:dyDescent="0.25">
      <c r="A12" s="4">
        <v>9</v>
      </c>
      <c r="B12" s="1" t="s">
        <v>1</v>
      </c>
      <c r="C12" s="1" t="s">
        <v>992</v>
      </c>
    </row>
    <row r="13" spans="1:3" x14ac:dyDescent="0.25">
      <c r="A13" s="4">
        <v>10</v>
      </c>
      <c r="B13" s="1" t="s">
        <v>1</v>
      </c>
      <c r="C13" s="1" t="s">
        <v>993</v>
      </c>
    </row>
    <row r="14" spans="1:3" x14ac:dyDescent="0.25">
      <c r="A14" s="4">
        <v>11</v>
      </c>
      <c r="B14" s="1" t="s">
        <v>1</v>
      </c>
      <c r="C14" s="1" t="s">
        <v>994</v>
      </c>
    </row>
    <row r="15" spans="1:3" x14ac:dyDescent="0.25">
      <c r="A15" s="4">
        <v>12</v>
      </c>
      <c r="B15" s="1" t="s">
        <v>1</v>
      </c>
      <c r="C15" s="1" t="s">
        <v>995</v>
      </c>
    </row>
    <row r="16" spans="1:3" x14ac:dyDescent="0.25">
      <c r="A16" s="4">
        <v>13</v>
      </c>
      <c r="B16" s="1" t="s">
        <v>1</v>
      </c>
      <c r="C16" s="1" t="s">
        <v>996</v>
      </c>
    </row>
    <row r="17" spans="1:6" x14ac:dyDescent="0.25">
      <c r="A17" s="4">
        <v>14</v>
      </c>
      <c r="B17" s="1" t="s">
        <v>1</v>
      </c>
      <c r="C17" s="1" t="s">
        <v>997</v>
      </c>
    </row>
    <row r="18" spans="1:6" x14ac:dyDescent="0.25">
      <c r="A18" s="4">
        <v>15</v>
      </c>
      <c r="B18" s="1" t="s">
        <v>1</v>
      </c>
      <c r="C18" s="1" t="s">
        <v>998</v>
      </c>
    </row>
    <row r="19" spans="1:6" x14ac:dyDescent="0.25">
      <c r="A19" s="4">
        <v>16</v>
      </c>
      <c r="B19" s="1" t="s">
        <v>1</v>
      </c>
      <c r="C19" s="1" t="s">
        <v>999</v>
      </c>
    </row>
    <row r="20" spans="1:6" x14ac:dyDescent="0.25">
      <c r="A20" s="4"/>
      <c r="B20" s="1"/>
      <c r="C20" s="1"/>
    </row>
    <row r="21" spans="1:6" s="7" customFormat="1" ht="15.75" x14ac:dyDescent="0.3">
      <c r="A21" s="5" t="s">
        <v>1000</v>
      </c>
      <c r="B21" s="5"/>
      <c r="C21" s="5"/>
      <c r="E21" s="7" t="s">
        <v>1002</v>
      </c>
      <c r="F21" s="7" t="s">
        <v>1003</v>
      </c>
    </row>
    <row r="22" spans="1:6" s="1" customFormat="1" x14ac:dyDescent="0.25">
      <c r="A22" s="4" t="s">
        <v>76</v>
      </c>
      <c r="B22" s="1" t="s">
        <v>1</v>
      </c>
      <c r="C22" s="9">
        <f>COUNTA(A23:A60)</f>
        <v>37</v>
      </c>
    </row>
    <row r="23" spans="1:6" s="1" customFormat="1" x14ac:dyDescent="0.25">
      <c r="A23" s="4">
        <v>0</v>
      </c>
      <c r="B23" s="1" t="s">
        <v>1</v>
      </c>
      <c r="C23" s="1" t="str">
        <f>"%{(" &amp; E23 &amp; ")}%;" &amp; F23</f>
        <v>%{(1100)}%;context_management</v>
      </c>
      <c r="E23" s="19">
        <v>1100</v>
      </c>
      <c r="F23" s="19" t="s">
        <v>1004</v>
      </c>
    </row>
    <row r="24" spans="1:6" s="1" customFormat="1" x14ac:dyDescent="0.25">
      <c r="A24" s="4">
        <v>1</v>
      </c>
      <c r="B24" s="1" t="s">
        <v>1</v>
      </c>
      <c r="C24" s="1" t="str">
        <f t="shared" ref="C24:C59" si="0">"%{(" &amp; E24 &amp; ")}%;" &amp; F24</f>
        <v>%{(1101)}%;context_shadow</v>
      </c>
      <c r="E24" s="19">
        <v>1101</v>
      </c>
      <c r="F24" s="19" t="s">
        <v>1005</v>
      </c>
    </row>
    <row r="25" spans="1:6" s="1" customFormat="1" x14ac:dyDescent="0.25">
      <c r="A25" s="4">
        <v>2</v>
      </c>
      <c r="B25" s="1" t="s">
        <v>1</v>
      </c>
      <c r="C25" s="1" t="str">
        <f t="shared" si="0"/>
        <v>%{(1102)}%;context_mac_wreg</v>
      </c>
      <c r="E25" s="19">
        <v>1102</v>
      </c>
      <c r="F25" s="19" t="s">
        <v>1006</v>
      </c>
    </row>
    <row r="26" spans="1:6" s="1" customFormat="1" x14ac:dyDescent="0.25">
      <c r="A26" s="4">
        <v>3</v>
      </c>
      <c r="B26" s="1" t="s">
        <v>1</v>
      </c>
      <c r="C26" s="1" t="str">
        <f t="shared" si="0"/>
        <v>%{(1103)}%;context_acc</v>
      </c>
      <c r="E26" s="19">
        <v>1103</v>
      </c>
      <c r="F26" s="19" t="s">
        <v>1007</v>
      </c>
    </row>
    <row r="27" spans="1:6" s="1" customFormat="1" x14ac:dyDescent="0.25">
      <c r="A27" s="4">
        <v>4</v>
      </c>
      <c r="B27" s="1" t="s">
        <v>1</v>
      </c>
      <c r="C27" s="1" t="str">
        <f t="shared" si="0"/>
        <v>%{(1104)}%;context_acc_a</v>
      </c>
      <c r="E27" s="19">
        <v>1104</v>
      </c>
      <c r="F27" s="19" t="s">
        <v>1008</v>
      </c>
    </row>
    <row r="28" spans="1:6" s="1" customFormat="1" x14ac:dyDescent="0.25">
      <c r="A28" s="4">
        <v>5</v>
      </c>
      <c r="B28" s="1" t="s">
        <v>1</v>
      </c>
      <c r="C28" s="1" t="str">
        <f t="shared" si="0"/>
        <v>%{(1105)}%;context_acc_b</v>
      </c>
      <c r="E28" s="19">
        <v>1105</v>
      </c>
      <c r="F28" s="19" t="s">
        <v>1009</v>
      </c>
    </row>
    <row r="29" spans="1:6" s="1" customFormat="1" x14ac:dyDescent="0.25">
      <c r="A29" s="4">
        <v>6</v>
      </c>
      <c r="B29" s="1" t="s">
        <v>1</v>
      </c>
      <c r="C29" s="1" t="str">
        <f t="shared" si="0"/>
        <v>%{(1106)}%;context_core_config</v>
      </c>
      <c r="E29" s="19">
        <v>1106</v>
      </c>
      <c r="F29" s="19" t="s">
        <v>1010</v>
      </c>
    </row>
    <row r="30" spans="1:6" s="1" customFormat="1" x14ac:dyDescent="0.25">
      <c r="A30" s="4">
        <v>7</v>
      </c>
      <c r="B30" s="1" t="s">
        <v>1</v>
      </c>
      <c r="C30" s="1" t="str">
        <f t="shared" si="0"/>
        <v>%{(1107)}%;context_core_status</v>
      </c>
      <c r="E30" s="19">
        <v>1107</v>
      </c>
      <c r="F30" s="19" t="s">
        <v>1011</v>
      </c>
    </row>
    <row r="31" spans="1:6" s="1" customFormat="1" x14ac:dyDescent="0.25">
      <c r="A31" s="4">
        <v>8</v>
      </c>
      <c r="B31" s="1" t="s">
        <v>1</v>
      </c>
      <c r="C31" s="1" t="str">
        <f t="shared" si="0"/>
        <v>%{(1200)}%;option_enable</v>
      </c>
      <c r="E31" s="19">
        <v>1200</v>
      </c>
      <c r="F31" s="19" t="s">
        <v>1032</v>
      </c>
    </row>
    <row r="32" spans="1:6" s="1" customFormat="1" x14ac:dyDescent="0.25">
      <c r="A32" s="4">
        <v>9</v>
      </c>
      <c r="B32" s="1" t="s">
        <v>1</v>
      </c>
      <c r="C32" s="1" t="str">
        <f t="shared" si="0"/>
        <v>%{(1201)}%;option_store_reload_acc</v>
      </c>
      <c r="E32" s="19">
        <v>1201</v>
      </c>
      <c r="F32" s="19" t="s">
        <v>1038</v>
      </c>
    </row>
    <row r="33" spans="1:6" s="1" customFormat="1" x14ac:dyDescent="0.25">
      <c r="A33" s="4">
        <v>10</v>
      </c>
      <c r="B33" s="1" t="s">
        <v>1</v>
      </c>
      <c r="C33" s="1" t="str">
        <f t="shared" si="0"/>
        <v>%{(1202)}%;option_core_config</v>
      </c>
      <c r="E33" s="19">
        <v>1202</v>
      </c>
      <c r="F33" s="19" t="s">
        <v>1012</v>
      </c>
    </row>
    <row r="34" spans="1:6" s="1" customFormat="1" x14ac:dyDescent="0.25">
      <c r="A34" s="4">
        <v>11</v>
      </c>
      <c r="B34" s="1" t="s">
        <v>1</v>
      </c>
      <c r="C34" s="1" t="str">
        <f t="shared" si="0"/>
        <v>%{(1203)}%;option_enable_switch</v>
      </c>
      <c r="E34" s="19">
        <v>1203</v>
      </c>
      <c r="F34" s="19" t="s">
        <v>1013</v>
      </c>
    </row>
    <row r="35" spans="1:6" s="1" customFormat="1" x14ac:dyDescent="0.25">
      <c r="A35" s="4">
        <v>12</v>
      </c>
      <c r="B35" s="1" t="s">
        <v>1</v>
      </c>
      <c r="C35" s="1" t="str">
        <f t="shared" si="0"/>
        <v>%{(1204)}%;option_enable_switch_always_read</v>
      </c>
      <c r="E35" s="19">
        <v>1204</v>
      </c>
      <c r="F35" s="19" t="s">
        <v>1014</v>
      </c>
    </row>
    <row r="36" spans="1:6" s="1" customFormat="1" x14ac:dyDescent="0.25">
      <c r="A36" s="4">
        <v>13</v>
      </c>
      <c r="B36" s="1" t="s">
        <v>1</v>
      </c>
      <c r="C36" s="1" t="str">
        <f t="shared" si="0"/>
        <v>%{(1205)}%;option_error_normalization</v>
      </c>
      <c r="E36" s="19">
        <v>1205</v>
      </c>
      <c r="F36" s="19" t="s">
        <v>1015</v>
      </c>
    </row>
    <row r="37" spans="1:6" s="1" customFormat="1" x14ac:dyDescent="0.25">
      <c r="A37" s="4">
        <v>14</v>
      </c>
      <c r="B37" s="1" t="s">
        <v>1</v>
      </c>
      <c r="C37" s="1" t="str">
        <f t="shared" si="0"/>
        <v>%{(1206)}%;option_adc_trigger_a_placement</v>
      </c>
      <c r="E37" s="19">
        <v>1206</v>
      </c>
      <c r="F37" s="19" t="s">
        <v>1016</v>
      </c>
    </row>
    <row r="38" spans="1:6" s="1" customFormat="1" x14ac:dyDescent="0.25">
      <c r="A38" s="4">
        <v>15</v>
      </c>
      <c r="B38" s="1" t="s">
        <v>1</v>
      </c>
      <c r="C38" s="1" t="str">
        <f t="shared" si="0"/>
        <v>%{(1207)}%;option_adc_trigger_b_placement</v>
      </c>
      <c r="E38" s="19">
        <v>1207</v>
      </c>
      <c r="F38" s="19" t="s">
        <v>1017</v>
      </c>
    </row>
    <row r="39" spans="1:6" s="1" customFormat="1" x14ac:dyDescent="0.25">
      <c r="A39" s="4">
        <v>16</v>
      </c>
      <c r="B39" s="1" t="s">
        <v>1</v>
      </c>
      <c r="C39" s="1" t="str">
        <f t="shared" si="0"/>
        <v>%{(1208)}%;option_cascade_call</v>
      </c>
      <c r="E39" s="19">
        <v>1208</v>
      </c>
      <c r="F39" s="19" t="s">
        <v>1018</v>
      </c>
    </row>
    <row r="40" spans="1:6" s="1" customFormat="1" x14ac:dyDescent="0.25">
      <c r="A40" s="4">
        <v>17</v>
      </c>
      <c r="B40" s="1" t="s">
        <v>1</v>
      </c>
      <c r="C40" s="1" t="str">
        <f t="shared" si="0"/>
        <v>%{(1209)}%;option_add_p-term</v>
      </c>
      <c r="E40" s="19">
        <v>1209</v>
      </c>
      <c r="F40" s="19" t="s">
        <v>1027</v>
      </c>
    </row>
    <row r="41" spans="1:6" s="1" customFormat="1" x14ac:dyDescent="0.25">
      <c r="A41" s="4">
        <v>18</v>
      </c>
      <c r="B41" s="1" t="s">
        <v>1</v>
      </c>
      <c r="C41" s="1" t="str">
        <f t="shared" si="0"/>
        <v>%{(1300)}%;data_interface_enable</v>
      </c>
      <c r="E41" s="19">
        <v>1300</v>
      </c>
      <c r="F41" s="19" t="s">
        <v>1033</v>
      </c>
    </row>
    <row r="42" spans="1:6" s="1" customFormat="1" x14ac:dyDescent="0.25">
      <c r="A42" s="4">
        <v>19</v>
      </c>
      <c r="B42" s="1" t="s">
        <v>1</v>
      </c>
      <c r="C42" s="1" t="str">
        <f t="shared" si="0"/>
        <v>%{(1301)}%;data_interface_alt_input</v>
      </c>
      <c r="E42" s="19">
        <v>1301</v>
      </c>
      <c r="F42" s="19" t="s">
        <v>1019</v>
      </c>
    </row>
    <row r="43" spans="1:6" x14ac:dyDescent="0.25">
      <c r="A43" s="4">
        <v>20</v>
      </c>
      <c r="B43" s="1" t="s">
        <v>1</v>
      </c>
      <c r="C43" s="1" t="str">
        <f t="shared" si="0"/>
        <v>%{(1302)}%;data_interface_alt_output</v>
      </c>
      <c r="D43" s="1"/>
      <c r="E43" s="19">
        <v>1302</v>
      </c>
      <c r="F43" s="19" t="s">
        <v>1020</v>
      </c>
    </row>
    <row r="44" spans="1:6" x14ac:dyDescent="0.25">
      <c r="A44" s="4">
        <v>21</v>
      </c>
      <c r="B44" s="1" t="s">
        <v>1</v>
      </c>
      <c r="C44" s="1" t="str">
        <f t="shared" si="0"/>
        <v>%{(1400)}%;data_provider_enable</v>
      </c>
      <c r="D44" s="1"/>
      <c r="E44" s="19">
        <v>1400</v>
      </c>
      <c r="F44" s="19" t="s">
        <v>1034</v>
      </c>
    </row>
    <row r="45" spans="1:6" x14ac:dyDescent="0.25">
      <c r="A45" s="4">
        <v>22</v>
      </c>
      <c r="B45" s="1" t="s">
        <v>1</v>
      </c>
      <c r="C45" s="1" t="str">
        <f t="shared" si="0"/>
        <v>%{(1401)}%;data_provider_control_input</v>
      </c>
      <c r="D45" s="1"/>
      <c r="E45" s="19">
        <v>1401</v>
      </c>
      <c r="F45" s="19" t="s">
        <v>1021</v>
      </c>
    </row>
    <row r="46" spans="1:6" x14ac:dyDescent="0.25">
      <c r="A46" s="4">
        <v>23</v>
      </c>
      <c r="B46" s="1" t="s">
        <v>1</v>
      </c>
      <c r="C46" s="1" t="str">
        <f t="shared" si="0"/>
        <v>%{(1402)}%;data_provider_control_error</v>
      </c>
      <c r="D46" s="1"/>
      <c r="E46" s="19">
        <v>1402</v>
      </c>
      <c r="F46" s="19" t="s">
        <v>1022</v>
      </c>
    </row>
    <row r="47" spans="1:6" x14ac:dyDescent="0.25">
      <c r="A47" s="4">
        <v>24</v>
      </c>
      <c r="B47" s="1" t="s">
        <v>1</v>
      </c>
      <c r="C47" s="1" t="str">
        <f t="shared" si="0"/>
        <v>%{(1403)}%;data_provider_control_output</v>
      </c>
      <c r="D47" s="1"/>
      <c r="E47" s="19">
        <v>1403</v>
      </c>
      <c r="F47" s="19" t="s">
        <v>1023</v>
      </c>
    </row>
    <row r="48" spans="1:6" x14ac:dyDescent="0.25">
      <c r="A48" s="4">
        <v>25</v>
      </c>
      <c r="B48" s="1" t="s">
        <v>1</v>
      </c>
      <c r="C48" s="1" t="str">
        <f t="shared" si="0"/>
        <v>%{(1500)}%;anti_windup_enable</v>
      </c>
      <c r="D48" s="1"/>
      <c r="E48" s="19">
        <v>1500</v>
      </c>
      <c r="F48" s="19" t="s">
        <v>1035</v>
      </c>
    </row>
    <row r="49" spans="1:6" x14ac:dyDescent="0.25">
      <c r="A49" s="4">
        <v>26</v>
      </c>
      <c r="B49" s="1" t="s">
        <v>1</v>
      </c>
      <c r="C49" s="1" t="str">
        <f t="shared" si="0"/>
        <v>%{(1501)}%;anti_windup_max</v>
      </c>
      <c r="D49" s="1"/>
      <c r="E49" s="19">
        <v>1501</v>
      </c>
      <c r="F49" s="19" t="s">
        <v>38</v>
      </c>
    </row>
    <row r="50" spans="1:6" x14ac:dyDescent="0.25">
      <c r="A50" s="4">
        <v>27</v>
      </c>
      <c r="B50" s="1" t="s">
        <v>1</v>
      </c>
      <c r="C50" s="1" t="str">
        <f t="shared" si="0"/>
        <v>%{(1502)}%;anti_windup_max_status_flag</v>
      </c>
      <c r="D50" s="1"/>
      <c r="E50" s="19">
        <v>1502</v>
      </c>
      <c r="F50" s="19" t="s">
        <v>1039</v>
      </c>
    </row>
    <row r="51" spans="1:6" x14ac:dyDescent="0.25">
      <c r="A51" s="4">
        <v>28</v>
      </c>
      <c r="B51" s="1" t="s">
        <v>1</v>
      </c>
      <c r="C51" s="1" t="str">
        <f t="shared" si="0"/>
        <v>%{(1503)}%;anti_windup_min</v>
      </c>
      <c r="D51" s="1"/>
      <c r="E51" s="19">
        <v>1503</v>
      </c>
      <c r="F51" s="19" t="s">
        <v>37</v>
      </c>
    </row>
    <row r="52" spans="1:6" x14ac:dyDescent="0.25">
      <c r="A52" s="4">
        <v>29</v>
      </c>
      <c r="B52" s="1" t="s">
        <v>1</v>
      </c>
      <c r="C52" s="1" t="str">
        <f t="shared" si="0"/>
        <v>%{(1504)}%;anti_windup_min_status_flag</v>
      </c>
      <c r="D52" s="1"/>
      <c r="E52" s="19">
        <v>1504</v>
      </c>
      <c r="F52" s="19" t="s">
        <v>1040</v>
      </c>
    </row>
    <row r="53" spans="1:6" x14ac:dyDescent="0.25">
      <c r="A53" s="4">
        <v>30</v>
      </c>
      <c r="B53" s="1" t="s">
        <v>1</v>
      </c>
      <c r="C53" s="1" t="str">
        <f t="shared" si="0"/>
        <v>%{(1505)}%;anti_windup_soft_desat_flag</v>
      </c>
      <c r="D53" s="1"/>
      <c r="E53" s="19">
        <v>1505</v>
      </c>
      <c r="F53" s="19" t="s">
        <v>1024</v>
      </c>
    </row>
    <row r="54" spans="1:6" x14ac:dyDescent="0.25">
      <c r="A54" s="4">
        <v>31</v>
      </c>
      <c r="B54" s="1" t="s">
        <v>1</v>
      </c>
      <c r="C54" s="1" t="str">
        <f t="shared" si="0"/>
        <v>%{(1600)}%;feedback_conditioning_enable</v>
      </c>
      <c r="D54" s="1"/>
      <c r="E54" s="19">
        <v>1600</v>
      </c>
      <c r="F54" s="19" t="s">
        <v>1036</v>
      </c>
    </row>
    <row r="55" spans="1:6" x14ac:dyDescent="0.25">
      <c r="A55" s="4">
        <v>32</v>
      </c>
      <c r="B55" s="1" t="s">
        <v>1</v>
      </c>
      <c r="C55" s="1" t="str">
        <f t="shared" si="0"/>
        <v>%{(1601)}%;feedback_offset_compensation</v>
      </c>
      <c r="D55" s="1"/>
      <c r="E55" s="19">
        <v>1601</v>
      </c>
      <c r="F55" s="19" t="s">
        <v>1026</v>
      </c>
    </row>
    <row r="56" spans="1:6" x14ac:dyDescent="0.25">
      <c r="A56" s="4">
        <v>33</v>
      </c>
      <c r="B56" s="1" t="s">
        <v>1</v>
      </c>
      <c r="C56" s="1" t="str">
        <f>"%{(" &amp; E56 &amp; ")}%;" &amp; F56</f>
        <v>%{(1602)}%;bi_directional_feedback_flag</v>
      </c>
      <c r="D56" s="1"/>
      <c r="E56" s="19">
        <v>1602</v>
      </c>
      <c r="F56" s="19" t="s">
        <v>1025</v>
      </c>
    </row>
    <row r="57" spans="1:6" x14ac:dyDescent="0.25">
      <c r="A57" s="4">
        <v>34</v>
      </c>
      <c r="B57" s="1" t="s">
        <v>1</v>
      </c>
      <c r="C57" s="1" t="str">
        <f t="shared" si="0"/>
        <v>%{(1800)}%;agc_enable</v>
      </c>
      <c r="D57" s="1"/>
      <c r="E57" s="19">
        <v>1800</v>
      </c>
      <c r="F57" s="19" t="s">
        <v>1037</v>
      </c>
    </row>
    <row r="58" spans="1:6" x14ac:dyDescent="0.25">
      <c r="A58" s="4">
        <v>35</v>
      </c>
      <c r="B58" s="1" t="s">
        <v>1</v>
      </c>
      <c r="C58" s="1" t="str">
        <f t="shared" si="0"/>
        <v>%{(1802)}%;agc_enable_switch</v>
      </c>
      <c r="D58" s="1"/>
      <c r="E58" s="19">
        <v>1802</v>
      </c>
      <c r="F58" s="19" t="s">
        <v>1041</v>
      </c>
    </row>
    <row r="59" spans="1:6" x14ac:dyDescent="0.25">
      <c r="A59" s="4">
        <v>36</v>
      </c>
      <c r="B59" s="1" t="s">
        <v>1</v>
      </c>
      <c r="C59" s="1" t="str">
        <f t="shared" si="0"/>
        <v>%{(1803)}%;agc_get_factor_function_call</v>
      </c>
      <c r="D59" s="1"/>
      <c r="E59" s="19">
        <v>1803</v>
      </c>
      <c r="F59" s="19" t="s">
        <v>1042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D108"/>
  <sheetViews>
    <sheetView workbookViewId="0">
      <selection activeCell="C88" sqref="C88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155</v>
      </c>
      <c r="B1" s="5"/>
      <c r="C1" s="5"/>
      <c r="D1" s="12"/>
    </row>
    <row r="2" spans="1:4" x14ac:dyDescent="0.25">
      <c r="A2" s="1" t="s">
        <v>154</v>
      </c>
      <c r="B2" s="1" t="s">
        <v>1</v>
      </c>
      <c r="C2" s="2" t="s">
        <v>153</v>
      </c>
    </row>
    <row r="3" spans="1:4" x14ac:dyDescent="0.25">
      <c r="A3" s="1" t="s">
        <v>152</v>
      </c>
      <c r="B3" s="1" t="s">
        <v>1</v>
      </c>
      <c r="C3" s="2">
        <v>0</v>
      </c>
    </row>
    <row r="4" spans="1:4" x14ac:dyDescent="0.25">
      <c r="A4" s="1" t="s">
        <v>151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150</v>
      </c>
      <c r="B5" s="1" t="s">
        <v>1</v>
      </c>
      <c r="C5" s="2" t="s">
        <v>772</v>
      </c>
    </row>
    <row r="6" spans="1:4" x14ac:dyDescent="0.25">
      <c r="A6" s="1" t="s">
        <v>149</v>
      </c>
      <c r="B6" s="1" t="s">
        <v>1</v>
      </c>
      <c r="C6" s="2" t="s">
        <v>775</v>
      </c>
    </row>
    <row r="7" spans="1:4" x14ac:dyDescent="0.25">
      <c r="A7" s="1" t="s">
        <v>148</v>
      </c>
      <c r="B7" s="1" t="s">
        <v>1</v>
      </c>
      <c r="C7" s="2" t="s">
        <v>773</v>
      </c>
    </row>
    <row r="8" spans="1:4" x14ac:dyDescent="0.25">
      <c r="A8" s="1" t="s">
        <v>147</v>
      </c>
      <c r="B8" s="1" t="s">
        <v>1</v>
      </c>
      <c r="C8" s="2" t="s">
        <v>774</v>
      </c>
    </row>
    <row r="9" spans="1:4" x14ac:dyDescent="0.25">
      <c r="A9" s="1" t="s">
        <v>146</v>
      </c>
      <c r="B9" s="1" t="s">
        <v>1</v>
      </c>
      <c r="C9" s="2" t="s">
        <v>785</v>
      </c>
    </row>
    <row r="10" spans="1:4" x14ac:dyDescent="0.25">
      <c r="A10" s="1" t="s">
        <v>145</v>
      </c>
      <c r="B10" s="1" t="s">
        <v>1</v>
      </c>
      <c r="C10" s="2" t="s">
        <v>781</v>
      </c>
    </row>
    <row r="11" spans="1:4" x14ac:dyDescent="0.25">
      <c r="A11" s="1" t="s">
        <v>144</v>
      </c>
      <c r="B11" s="1" t="s">
        <v>1</v>
      </c>
      <c r="C11" s="2" t="s">
        <v>776</v>
      </c>
    </row>
    <row r="12" spans="1:4" x14ac:dyDescent="0.25">
      <c r="A12" s="1" t="s">
        <v>143</v>
      </c>
      <c r="B12" s="1" t="s">
        <v>1</v>
      </c>
      <c r="C12" s="2" t="s">
        <v>777</v>
      </c>
    </row>
    <row r="13" spans="1:4" x14ac:dyDescent="0.25">
      <c r="A13" s="1" t="s">
        <v>142</v>
      </c>
      <c r="B13" s="1" t="s">
        <v>1</v>
      </c>
      <c r="C13" s="2" t="s">
        <v>786</v>
      </c>
    </row>
    <row r="14" spans="1:4" x14ac:dyDescent="0.25">
      <c r="A14" s="1" t="s">
        <v>141</v>
      </c>
      <c r="B14" s="1" t="s">
        <v>1</v>
      </c>
      <c r="C14" s="2" t="s">
        <v>780</v>
      </c>
    </row>
    <row r="15" spans="1:4" x14ac:dyDescent="0.25">
      <c r="A15" s="1" t="s">
        <v>140</v>
      </c>
      <c r="B15" s="1" t="s">
        <v>1</v>
      </c>
      <c r="C15" s="2" t="s">
        <v>778</v>
      </c>
    </row>
    <row r="16" spans="1:4" x14ac:dyDescent="0.25">
      <c r="A16" s="1" t="s">
        <v>139</v>
      </c>
      <c r="B16" s="1" t="s">
        <v>1</v>
      </c>
      <c r="C16" s="2" t="s">
        <v>779</v>
      </c>
    </row>
    <row r="17" spans="1:3" x14ac:dyDescent="0.25">
      <c r="A17" s="1" t="s">
        <v>138</v>
      </c>
      <c r="B17" s="1" t="s">
        <v>1</v>
      </c>
      <c r="C17" s="2" t="s">
        <v>784</v>
      </c>
    </row>
    <row r="18" spans="1:3" x14ac:dyDescent="0.25">
      <c r="A18" s="1" t="s">
        <v>137</v>
      </c>
      <c r="B18" s="1" t="s">
        <v>1</v>
      </c>
      <c r="C18" s="2" t="s">
        <v>787</v>
      </c>
    </row>
    <row r="19" spans="1:3" x14ac:dyDescent="0.25">
      <c r="A19" s="1" t="s">
        <v>136</v>
      </c>
      <c r="B19" s="1" t="s">
        <v>1</v>
      </c>
      <c r="C19" s="2" t="s">
        <v>782</v>
      </c>
    </row>
    <row r="20" spans="1:3" x14ac:dyDescent="0.25">
      <c r="A20" s="1" t="s">
        <v>135</v>
      </c>
      <c r="B20" s="1" t="s">
        <v>1</v>
      </c>
      <c r="C20" s="2" t="s">
        <v>783</v>
      </c>
    </row>
    <row r="21" spans="1:3" x14ac:dyDescent="0.25">
      <c r="A21" s="1" t="s">
        <v>134</v>
      </c>
      <c r="B21" s="1" t="s">
        <v>1</v>
      </c>
      <c r="C21" s="2" t="s">
        <v>788</v>
      </c>
    </row>
    <row r="22" spans="1:3" x14ac:dyDescent="0.25">
      <c r="A22" s="1" t="s">
        <v>133</v>
      </c>
      <c r="B22" s="1" t="s">
        <v>1</v>
      </c>
      <c r="C22" s="2" t="s">
        <v>789</v>
      </c>
    </row>
    <row r="23" spans="1:3" x14ac:dyDescent="0.25">
      <c r="A23" s="1" t="s">
        <v>132</v>
      </c>
      <c r="B23" s="1" t="s">
        <v>1</v>
      </c>
      <c r="C23" s="2" t="s">
        <v>790</v>
      </c>
    </row>
    <row r="24" spans="1:3" x14ac:dyDescent="0.25">
      <c r="A24" s="1" t="s">
        <v>131</v>
      </c>
      <c r="B24" s="1" t="s">
        <v>1</v>
      </c>
      <c r="C24" s="2" t="s">
        <v>791</v>
      </c>
    </row>
    <row r="25" spans="1:3" x14ac:dyDescent="0.25">
      <c r="A25" s="1" t="s">
        <v>130</v>
      </c>
      <c r="B25" s="1" t="s">
        <v>1</v>
      </c>
      <c r="C25" s="2" t="s">
        <v>792</v>
      </c>
    </row>
    <row r="26" spans="1:3" x14ac:dyDescent="0.25">
      <c r="A26" s="1" t="s">
        <v>129</v>
      </c>
      <c r="B26" s="1" t="s">
        <v>1</v>
      </c>
      <c r="C26" s="2" t="s">
        <v>793</v>
      </c>
    </row>
    <row r="27" spans="1:3" x14ac:dyDescent="0.25">
      <c r="A27" s="1" t="s">
        <v>128</v>
      </c>
      <c r="B27" s="1" t="s">
        <v>1</v>
      </c>
      <c r="C27" s="2" t="s">
        <v>794</v>
      </c>
    </row>
    <row r="28" spans="1:3" x14ac:dyDescent="0.25">
      <c r="A28" s="1" t="s">
        <v>127</v>
      </c>
      <c r="B28" s="1" t="s">
        <v>1</v>
      </c>
      <c r="C28" s="2" t="s">
        <v>795</v>
      </c>
    </row>
    <row r="29" spans="1:3" x14ac:dyDescent="0.25">
      <c r="A29" s="1" t="s">
        <v>126</v>
      </c>
      <c r="B29" s="1" t="s">
        <v>1</v>
      </c>
      <c r="C29" s="2" t="s">
        <v>796</v>
      </c>
    </row>
    <row r="30" spans="1:3" x14ac:dyDescent="0.25">
      <c r="A30" s="1" t="s">
        <v>125</v>
      </c>
      <c r="B30" s="1" t="s">
        <v>1</v>
      </c>
      <c r="C30" s="2" t="s">
        <v>797</v>
      </c>
    </row>
    <row r="31" spans="1:3" x14ac:dyDescent="0.25">
      <c r="A31" s="1" t="s">
        <v>124</v>
      </c>
      <c r="B31" s="1" t="s">
        <v>1</v>
      </c>
      <c r="C31" s="2" t="s">
        <v>798</v>
      </c>
    </row>
    <row r="32" spans="1:3" x14ac:dyDescent="0.25">
      <c r="A32" s="1" t="s">
        <v>123</v>
      </c>
      <c r="B32" s="1" t="s">
        <v>1</v>
      </c>
      <c r="C32" s="2" t="s">
        <v>799</v>
      </c>
    </row>
    <row r="33" spans="1:3" x14ac:dyDescent="0.25">
      <c r="A33" s="1" t="s">
        <v>122</v>
      </c>
      <c r="B33" s="1" t="s">
        <v>1</v>
      </c>
      <c r="C33" s="2" t="s">
        <v>800</v>
      </c>
    </row>
    <row r="34" spans="1:3" x14ac:dyDescent="0.25">
      <c r="A34" s="1" t="s">
        <v>121</v>
      </c>
      <c r="B34" s="1" t="s">
        <v>1</v>
      </c>
      <c r="C34" s="2" t="s">
        <v>800</v>
      </c>
    </row>
    <row r="35" spans="1:3" x14ac:dyDescent="0.25">
      <c r="A35" s="1" t="s">
        <v>657</v>
      </c>
      <c r="B35" s="1" t="s">
        <v>1</v>
      </c>
      <c r="C35" s="2" t="s">
        <v>1090</v>
      </c>
    </row>
    <row r="36" spans="1:3" x14ac:dyDescent="0.25">
      <c r="A36" s="1" t="s">
        <v>658</v>
      </c>
      <c r="B36" s="1" t="s">
        <v>1</v>
      </c>
      <c r="C36" s="2" t="s">
        <v>1091</v>
      </c>
    </row>
    <row r="37" spans="1:3" x14ac:dyDescent="0.25">
      <c r="A37" s="1" t="s">
        <v>659</v>
      </c>
      <c r="B37" s="1" t="s">
        <v>1</v>
      </c>
      <c r="C37" s="2" t="s">
        <v>818</v>
      </c>
    </row>
    <row r="38" spans="1:3" x14ac:dyDescent="0.25">
      <c r="A38" s="1" t="s">
        <v>660</v>
      </c>
      <c r="B38" s="1" t="s">
        <v>1</v>
      </c>
      <c r="C38" s="2" t="s">
        <v>817</v>
      </c>
    </row>
    <row r="39" spans="1:3" x14ac:dyDescent="0.25">
      <c r="A39" s="1" t="s">
        <v>661</v>
      </c>
      <c r="B39" s="1" t="s">
        <v>1</v>
      </c>
      <c r="C39" s="2" t="s">
        <v>819</v>
      </c>
    </row>
    <row r="40" spans="1:3" x14ac:dyDescent="0.25">
      <c r="A40" s="1" t="s">
        <v>802</v>
      </c>
      <c r="B40" s="1" t="s">
        <v>1</v>
      </c>
      <c r="C40" s="2" t="s">
        <v>820</v>
      </c>
    </row>
    <row r="41" spans="1:3" x14ac:dyDescent="0.25">
      <c r="A41" s="1" t="s">
        <v>803</v>
      </c>
      <c r="B41" s="1" t="s">
        <v>1</v>
      </c>
      <c r="C41" s="2" t="s">
        <v>942</v>
      </c>
    </row>
    <row r="42" spans="1:3" x14ac:dyDescent="0.25">
      <c r="A42" s="1" t="s">
        <v>804</v>
      </c>
      <c r="B42" s="1" t="s">
        <v>1</v>
      </c>
      <c r="C42" s="2" t="s">
        <v>943</v>
      </c>
    </row>
    <row r="43" spans="1:3" x14ac:dyDescent="0.25">
      <c r="A43" s="1" t="s">
        <v>805</v>
      </c>
      <c r="B43" s="1" t="s">
        <v>1</v>
      </c>
      <c r="C43" s="2" t="s">
        <v>944</v>
      </c>
    </row>
    <row r="44" spans="1:3" x14ac:dyDescent="0.25">
      <c r="A44" s="1" t="s">
        <v>806</v>
      </c>
      <c r="B44" s="1" t="s">
        <v>1</v>
      </c>
      <c r="C44" s="2" t="s">
        <v>945</v>
      </c>
    </row>
    <row r="45" spans="1:3" x14ac:dyDescent="0.25">
      <c r="A45" s="1" t="s">
        <v>807</v>
      </c>
      <c r="B45" s="1" t="s">
        <v>1</v>
      </c>
      <c r="C45" s="2" t="s">
        <v>822</v>
      </c>
    </row>
    <row r="46" spans="1:3" x14ac:dyDescent="0.25">
      <c r="A46" s="1" t="s">
        <v>808</v>
      </c>
      <c r="B46" s="1" t="s">
        <v>1</v>
      </c>
      <c r="C46" s="2" t="s">
        <v>821</v>
      </c>
    </row>
    <row r="47" spans="1:3" x14ac:dyDescent="0.25">
      <c r="A47" s="1" t="s">
        <v>809</v>
      </c>
      <c r="B47" s="1" t="s">
        <v>1</v>
      </c>
      <c r="C47" s="2" t="s">
        <v>823</v>
      </c>
    </row>
    <row r="48" spans="1:3" x14ac:dyDescent="0.25">
      <c r="A48" s="1" t="s">
        <v>810</v>
      </c>
      <c r="B48" s="1" t="s">
        <v>1</v>
      </c>
      <c r="C48" s="1" t="s">
        <v>824</v>
      </c>
    </row>
    <row r="49" spans="1:4" x14ac:dyDescent="0.25">
      <c r="A49" s="1" t="s">
        <v>811</v>
      </c>
      <c r="B49" s="1" t="s">
        <v>1</v>
      </c>
      <c r="C49" s="2" t="s">
        <v>825</v>
      </c>
    </row>
    <row r="50" spans="1:4" x14ac:dyDescent="0.25">
      <c r="A50" s="1" t="s">
        <v>812</v>
      </c>
      <c r="B50" s="1" t="s">
        <v>1</v>
      </c>
      <c r="C50" s="2" t="s">
        <v>935</v>
      </c>
    </row>
    <row r="51" spans="1:4" x14ac:dyDescent="0.25">
      <c r="A51" s="1" t="s">
        <v>813</v>
      </c>
      <c r="B51" s="1" t="s">
        <v>1</v>
      </c>
      <c r="C51" s="2" t="s">
        <v>933</v>
      </c>
    </row>
    <row r="52" spans="1:4" x14ac:dyDescent="0.25">
      <c r="A52" s="1" t="s">
        <v>814</v>
      </c>
      <c r="B52" s="1" t="s">
        <v>1</v>
      </c>
      <c r="C52" s="2" t="s">
        <v>934</v>
      </c>
    </row>
    <row r="53" spans="1:4" x14ac:dyDescent="0.25">
      <c r="A53" s="1" t="s">
        <v>815</v>
      </c>
      <c r="B53" s="1" t="s">
        <v>1</v>
      </c>
      <c r="C53" s="2" t="s">
        <v>826</v>
      </c>
    </row>
    <row r="54" spans="1:4" x14ac:dyDescent="0.25">
      <c r="A54" s="1" t="s">
        <v>816</v>
      </c>
      <c r="B54" s="1" t="s">
        <v>1</v>
      </c>
      <c r="C54" s="2" t="s">
        <v>827</v>
      </c>
    </row>
    <row r="55" spans="1:4" x14ac:dyDescent="0.25">
      <c r="A55" s="1" t="s">
        <v>1088</v>
      </c>
      <c r="B55" s="1" t="s">
        <v>1</v>
      </c>
      <c r="C55" s="2" t="s">
        <v>828</v>
      </c>
    </row>
    <row r="56" spans="1:4" x14ac:dyDescent="0.25">
      <c r="A56" s="1" t="s">
        <v>1089</v>
      </c>
      <c r="B56" s="1" t="s">
        <v>1</v>
      </c>
      <c r="C56" s="2" t="s">
        <v>829</v>
      </c>
    </row>
    <row r="57" spans="1:4" x14ac:dyDescent="0.25">
      <c r="A57" s="1" t="s">
        <v>120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119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118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117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116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115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114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113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112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111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110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109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108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107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106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105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104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103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102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101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100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99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98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97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96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95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94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93</v>
      </c>
      <c r="B84" s="1" t="s">
        <v>1</v>
      </c>
      <c r="C84" s="2" t="str">
        <f>".equ PostShiftA,                " &amp; D84</f>
        <v>.equ PostShiftA,                54</v>
      </c>
      <c r="D84" s="13">
        <v>54</v>
      </c>
    </row>
    <row r="85" spans="1:4" x14ac:dyDescent="0.25">
      <c r="A85" s="1" t="s">
        <v>92</v>
      </c>
      <c r="B85" s="1" t="s">
        <v>1</v>
      </c>
      <c r="C85" s="2" t="str">
        <f>".equ reserved_1,                " &amp; D85</f>
        <v>.equ reserved_1,                56</v>
      </c>
      <c r="D85" s="13">
        <v>56</v>
      </c>
    </row>
    <row r="86" spans="1:4" x14ac:dyDescent="0.25">
      <c r="A86" s="1" t="s">
        <v>91</v>
      </c>
      <c r="B86" s="1" t="s">
        <v>1</v>
      </c>
      <c r="C86" s="2" t="str">
        <f>".equ reserved_2,                " &amp; D86</f>
        <v>.equ reserved_2,                58</v>
      </c>
      <c r="D86" s="13">
        <v>58</v>
      </c>
    </row>
    <row r="87" spans="1:4" x14ac:dyDescent="0.25">
      <c r="A87" s="1" t="s">
        <v>652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653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654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655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656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758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759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760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761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762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763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764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765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766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767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768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769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770</v>
      </c>
      <c r="B104" s="1" t="s">
        <v>1</v>
      </c>
      <c r="C104" s="10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771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830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1086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1087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XFC179"/>
  <sheetViews>
    <sheetView topLeftCell="A100" zoomScaleNormal="100" workbookViewId="0">
      <selection activeCell="F156" sqref="F156"/>
    </sheetView>
  </sheetViews>
  <sheetFormatPr defaultRowHeight="15" x14ac:dyDescent="0.25"/>
  <cols>
    <col min="1" max="1" width="15.85546875" style="1" customWidth="1"/>
    <col min="2" max="2" width="2.5703125" style="1" bestFit="1" customWidth="1"/>
    <col min="3" max="3" width="84.85546875" style="1" bestFit="1" customWidth="1"/>
    <col min="4" max="4" width="4.7109375" customWidth="1"/>
    <col min="5" max="5" width="66.7109375" style="16" customWidth="1"/>
    <col min="6" max="6" width="59.5703125" style="16" bestFit="1" customWidth="1"/>
    <col min="7" max="7" width="69.5703125" style="16" customWidth="1"/>
  </cols>
  <sheetData>
    <row r="1" spans="1:1023 1025:2047 2049:3071 3073:4095 4097:5119 5121:6143 6145:7167 7169:8191 8193:9215 9217:10239 10241:11263 11265:12287 12289:13311 13313:14335 14337:15359 15361:16383" s="7" customFormat="1" ht="15.75" x14ac:dyDescent="0.3">
      <c r="A1" s="5" t="s">
        <v>81</v>
      </c>
      <c r="B1" s="5"/>
      <c r="C1" s="5"/>
      <c r="E1" s="5"/>
      <c r="F1" s="5"/>
      <c r="G1" s="5"/>
      <c r="I1" s="5"/>
      <c r="J1" s="5"/>
      <c r="K1" s="5"/>
      <c r="M1" s="5"/>
      <c r="N1" s="5"/>
      <c r="O1" s="5"/>
      <c r="Q1" s="5"/>
      <c r="R1" s="5"/>
      <c r="S1" s="5"/>
      <c r="U1" s="5"/>
      <c r="V1" s="5"/>
      <c r="W1" s="5"/>
      <c r="Y1" s="5"/>
      <c r="Z1" s="5"/>
      <c r="AA1" s="5"/>
      <c r="AC1" s="5"/>
      <c r="AD1" s="5"/>
      <c r="AE1" s="5"/>
      <c r="AG1" s="5"/>
      <c r="AH1" s="5"/>
      <c r="AI1" s="5"/>
      <c r="AK1" s="5"/>
      <c r="AL1" s="5"/>
      <c r="AM1" s="5"/>
      <c r="AO1" s="5"/>
      <c r="AP1" s="5"/>
      <c r="AQ1" s="5"/>
      <c r="AS1" s="5"/>
      <c r="AT1" s="5"/>
      <c r="AU1" s="5"/>
      <c r="AW1" s="5"/>
      <c r="AX1" s="5"/>
      <c r="AY1" s="5"/>
      <c r="BA1" s="5"/>
      <c r="BB1" s="5"/>
      <c r="BC1" s="5"/>
      <c r="BE1" s="5"/>
      <c r="BF1" s="5"/>
      <c r="BG1" s="5"/>
      <c r="BI1" s="5"/>
      <c r="BJ1" s="5"/>
      <c r="BK1" s="5"/>
      <c r="BM1" s="5"/>
      <c r="BN1" s="5"/>
      <c r="BO1" s="5"/>
      <c r="BQ1" s="5"/>
      <c r="BR1" s="5"/>
      <c r="BS1" s="5"/>
      <c r="BU1" s="5"/>
      <c r="BV1" s="5"/>
      <c r="BW1" s="5"/>
      <c r="BY1" s="5"/>
      <c r="BZ1" s="5"/>
      <c r="CA1" s="5"/>
      <c r="CC1" s="5"/>
      <c r="CD1" s="5"/>
      <c r="CE1" s="5"/>
      <c r="CG1" s="5"/>
      <c r="CH1" s="5"/>
      <c r="CI1" s="5"/>
      <c r="CK1" s="5"/>
      <c r="CL1" s="5"/>
      <c r="CM1" s="5"/>
      <c r="CO1" s="5"/>
      <c r="CP1" s="5"/>
      <c r="CQ1" s="5"/>
      <c r="CS1" s="5"/>
      <c r="CT1" s="5"/>
      <c r="CU1" s="5"/>
      <c r="CW1" s="5"/>
      <c r="CX1" s="5"/>
      <c r="CY1" s="5"/>
      <c r="DA1" s="5"/>
      <c r="DB1" s="5"/>
      <c r="DC1" s="5"/>
      <c r="DE1" s="5"/>
      <c r="DF1" s="5"/>
      <c r="DG1" s="5"/>
      <c r="DI1" s="5"/>
      <c r="DJ1" s="5"/>
      <c r="DK1" s="5"/>
      <c r="DM1" s="5"/>
      <c r="DN1" s="5"/>
      <c r="DO1" s="5"/>
      <c r="DQ1" s="5"/>
      <c r="DR1" s="5"/>
      <c r="DS1" s="5"/>
      <c r="DU1" s="5"/>
      <c r="DV1" s="5"/>
      <c r="DW1" s="5"/>
      <c r="DY1" s="5"/>
      <c r="DZ1" s="5"/>
      <c r="EA1" s="5"/>
      <c r="EC1" s="5"/>
      <c r="ED1" s="5"/>
      <c r="EE1" s="5"/>
      <c r="EG1" s="5"/>
      <c r="EH1" s="5"/>
      <c r="EI1" s="5"/>
      <c r="EK1" s="5"/>
      <c r="EL1" s="5"/>
      <c r="EM1" s="5"/>
      <c r="EO1" s="5"/>
      <c r="EP1" s="5"/>
      <c r="EQ1" s="5"/>
      <c r="ES1" s="5"/>
      <c r="ET1" s="5"/>
      <c r="EU1" s="5"/>
      <c r="EW1" s="5"/>
      <c r="EX1" s="5"/>
      <c r="EY1" s="5"/>
      <c r="FA1" s="5"/>
      <c r="FB1" s="5"/>
      <c r="FC1" s="5"/>
      <c r="FE1" s="5"/>
      <c r="FF1" s="5"/>
      <c r="FG1" s="5"/>
      <c r="FI1" s="5"/>
      <c r="FJ1" s="5"/>
      <c r="FK1" s="5"/>
      <c r="FM1" s="5"/>
      <c r="FN1" s="5"/>
      <c r="FO1" s="5"/>
      <c r="FQ1" s="5"/>
      <c r="FR1" s="5"/>
      <c r="FS1" s="5"/>
      <c r="FU1" s="5"/>
      <c r="FV1" s="5"/>
      <c r="FW1" s="5"/>
      <c r="FY1" s="5"/>
      <c r="FZ1" s="5"/>
      <c r="GA1" s="5"/>
      <c r="GC1" s="5"/>
      <c r="GD1" s="5"/>
      <c r="GE1" s="5"/>
      <c r="GG1" s="5"/>
      <c r="GH1" s="5"/>
      <c r="GI1" s="5"/>
      <c r="GK1" s="5"/>
      <c r="GL1" s="5"/>
      <c r="GM1" s="5"/>
      <c r="GO1" s="5"/>
      <c r="GP1" s="5"/>
      <c r="GQ1" s="5"/>
      <c r="GS1" s="5"/>
      <c r="GT1" s="5"/>
      <c r="GU1" s="5"/>
      <c r="GW1" s="5"/>
      <c r="GX1" s="5"/>
      <c r="GY1" s="5"/>
      <c r="HA1" s="5"/>
      <c r="HB1" s="5"/>
      <c r="HC1" s="5"/>
      <c r="HE1" s="5"/>
      <c r="HF1" s="5"/>
      <c r="HG1" s="5"/>
      <c r="HI1" s="5"/>
      <c r="HJ1" s="5"/>
      <c r="HK1" s="5"/>
      <c r="HM1" s="5"/>
      <c r="HN1" s="5"/>
      <c r="HO1" s="5"/>
      <c r="HQ1" s="5"/>
      <c r="HR1" s="5"/>
      <c r="HS1" s="5"/>
      <c r="HU1" s="5"/>
      <c r="HV1" s="5"/>
      <c r="HW1" s="5"/>
      <c r="HY1" s="5"/>
      <c r="HZ1" s="5"/>
      <c r="IA1" s="5"/>
      <c r="IC1" s="5"/>
      <c r="ID1" s="5"/>
      <c r="IE1" s="5"/>
      <c r="IG1" s="5"/>
      <c r="IH1" s="5"/>
      <c r="II1" s="5"/>
      <c r="IK1" s="5"/>
      <c r="IL1" s="5"/>
      <c r="IM1" s="5"/>
      <c r="IO1" s="5"/>
      <c r="IP1" s="5"/>
      <c r="IQ1" s="5"/>
      <c r="IS1" s="5"/>
      <c r="IT1" s="5"/>
      <c r="IU1" s="5"/>
      <c r="IW1" s="5"/>
      <c r="IX1" s="5"/>
      <c r="IY1" s="5"/>
      <c r="JA1" s="5"/>
      <c r="JB1" s="5"/>
      <c r="JC1" s="5"/>
      <c r="JE1" s="5"/>
      <c r="JF1" s="5"/>
      <c r="JG1" s="5"/>
      <c r="JI1" s="5"/>
      <c r="JJ1" s="5"/>
      <c r="JK1" s="5"/>
      <c r="JM1" s="5"/>
      <c r="JN1" s="5"/>
      <c r="JO1" s="5"/>
      <c r="JQ1" s="5"/>
      <c r="JR1" s="5"/>
      <c r="JS1" s="5"/>
      <c r="JU1" s="5"/>
      <c r="JV1" s="5"/>
      <c r="JW1" s="5"/>
      <c r="JY1" s="5"/>
      <c r="JZ1" s="5"/>
      <c r="KA1" s="5"/>
      <c r="KC1" s="5"/>
      <c r="KD1" s="5"/>
      <c r="KE1" s="5"/>
      <c r="KG1" s="5"/>
      <c r="KH1" s="5"/>
      <c r="KI1" s="5"/>
      <c r="KK1" s="5"/>
      <c r="KL1" s="5"/>
      <c r="KM1" s="5"/>
      <c r="KO1" s="5"/>
      <c r="KP1" s="5"/>
      <c r="KQ1" s="5"/>
      <c r="KS1" s="5"/>
      <c r="KT1" s="5"/>
      <c r="KU1" s="5"/>
      <c r="KW1" s="5"/>
      <c r="KX1" s="5"/>
      <c r="KY1" s="5"/>
      <c r="LA1" s="5"/>
      <c r="LB1" s="5"/>
      <c r="LC1" s="5"/>
      <c r="LE1" s="5"/>
      <c r="LF1" s="5"/>
      <c r="LG1" s="5"/>
      <c r="LI1" s="5"/>
      <c r="LJ1" s="5"/>
      <c r="LK1" s="5"/>
      <c r="LM1" s="5"/>
      <c r="LN1" s="5"/>
      <c r="LO1" s="5"/>
      <c r="LQ1" s="5"/>
      <c r="LR1" s="5"/>
      <c r="LS1" s="5"/>
      <c r="LU1" s="5"/>
      <c r="LV1" s="5"/>
      <c r="LW1" s="5"/>
      <c r="LY1" s="5"/>
      <c r="LZ1" s="5"/>
      <c r="MA1" s="5"/>
      <c r="MC1" s="5"/>
      <c r="MD1" s="5"/>
      <c r="ME1" s="5"/>
      <c r="MG1" s="5"/>
      <c r="MH1" s="5"/>
      <c r="MI1" s="5"/>
      <c r="MK1" s="5"/>
      <c r="ML1" s="5"/>
      <c r="MM1" s="5"/>
      <c r="MO1" s="5"/>
      <c r="MP1" s="5"/>
      <c r="MQ1" s="5"/>
      <c r="MS1" s="5"/>
      <c r="MT1" s="5"/>
      <c r="MU1" s="5"/>
      <c r="MW1" s="5"/>
      <c r="MX1" s="5"/>
      <c r="MY1" s="5"/>
      <c r="NA1" s="5"/>
      <c r="NB1" s="5"/>
      <c r="NC1" s="5"/>
      <c r="NE1" s="5"/>
      <c r="NF1" s="5"/>
      <c r="NG1" s="5"/>
      <c r="NI1" s="5"/>
      <c r="NJ1" s="5"/>
      <c r="NK1" s="5"/>
      <c r="NM1" s="5"/>
      <c r="NN1" s="5"/>
      <c r="NO1" s="5"/>
      <c r="NQ1" s="5"/>
      <c r="NR1" s="5"/>
      <c r="NS1" s="5"/>
      <c r="NU1" s="5"/>
      <c r="NV1" s="5"/>
      <c r="NW1" s="5"/>
      <c r="NY1" s="5"/>
      <c r="NZ1" s="5"/>
      <c r="OA1" s="5"/>
      <c r="OC1" s="5"/>
      <c r="OD1" s="5"/>
      <c r="OE1" s="5"/>
      <c r="OG1" s="5"/>
      <c r="OH1" s="5"/>
      <c r="OI1" s="5"/>
      <c r="OK1" s="5"/>
      <c r="OL1" s="5"/>
      <c r="OM1" s="5"/>
      <c r="OO1" s="5"/>
      <c r="OP1" s="5"/>
      <c r="OQ1" s="5"/>
      <c r="OS1" s="5"/>
      <c r="OT1" s="5"/>
      <c r="OU1" s="5"/>
      <c r="OW1" s="5"/>
      <c r="OX1" s="5"/>
      <c r="OY1" s="5"/>
      <c r="PA1" s="5"/>
      <c r="PB1" s="5"/>
      <c r="PC1" s="5"/>
      <c r="PE1" s="5"/>
      <c r="PF1" s="5"/>
      <c r="PG1" s="5"/>
      <c r="PI1" s="5"/>
      <c r="PJ1" s="5"/>
      <c r="PK1" s="5"/>
      <c r="PM1" s="5"/>
      <c r="PN1" s="5"/>
      <c r="PO1" s="5"/>
      <c r="PQ1" s="5"/>
      <c r="PR1" s="5"/>
      <c r="PS1" s="5"/>
      <c r="PU1" s="5"/>
      <c r="PV1" s="5"/>
      <c r="PW1" s="5"/>
      <c r="PY1" s="5"/>
      <c r="PZ1" s="5"/>
      <c r="QA1" s="5"/>
      <c r="QC1" s="5"/>
      <c r="QD1" s="5"/>
      <c r="QE1" s="5"/>
      <c r="QG1" s="5"/>
      <c r="QH1" s="5"/>
      <c r="QI1" s="5"/>
      <c r="QK1" s="5"/>
      <c r="QL1" s="5"/>
      <c r="QM1" s="5"/>
      <c r="QO1" s="5"/>
      <c r="QP1" s="5"/>
      <c r="QQ1" s="5"/>
      <c r="QS1" s="5"/>
      <c r="QT1" s="5"/>
      <c r="QU1" s="5"/>
      <c r="QW1" s="5"/>
      <c r="QX1" s="5"/>
      <c r="QY1" s="5"/>
      <c r="RA1" s="5"/>
      <c r="RB1" s="5"/>
      <c r="RC1" s="5"/>
      <c r="RE1" s="5"/>
      <c r="RF1" s="5"/>
      <c r="RG1" s="5"/>
      <c r="RI1" s="5"/>
      <c r="RJ1" s="5"/>
      <c r="RK1" s="5"/>
      <c r="RM1" s="5"/>
      <c r="RN1" s="5"/>
      <c r="RO1" s="5"/>
      <c r="RQ1" s="5"/>
      <c r="RR1" s="5"/>
      <c r="RS1" s="5"/>
      <c r="RU1" s="5"/>
      <c r="RV1" s="5"/>
      <c r="RW1" s="5"/>
      <c r="RY1" s="5"/>
      <c r="RZ1" s="5"/>
      <c r="SA1" s="5"/>
      <c r="SC1" s="5"/>
      <c r="SD1" s="5"/>
      <c r="SE1" s="5"/>
      <c r="SG1" s="5"/>
      <c r="SH1" s="5"/>
      <c r="SI1" s="5"/>
      <c r="SK1" s="5"/>
      <c r="SL1" s="5"/>
      <c r="SM1" s="5"/>
      <c r="SO1" s="5"/>
      <c r="SP1" s="5"/>
      <c r="SQ1" s="5"/>
      <c r="SS1" s="5"/>
      <c r="ST1" s="5"/>
      <c r="SU1" s="5"/>
      <c r="SW1" s="5"/>
      <c r="SX1" s="5"/>
      <c r="SY1" s="5"/>
      <c r="TA1" s="5"/>
      <c r="TB1" s="5"/>
      <c r="TC1" s="5"/>
      <c r="TE1" s="5"/>
      <c r="TF1" s="5"/>
      <c r="TG1" s="5"/>
      <c r="TI1" s="5"/>
      <c r="TJ1" s="5"/>
      <c r="TK1" s="5"/>
      <c r="TM1" s="5"/>
      <c r="TN1" s="5"/>
      <c r="TO1" s="5"/>
      <c r="TQ1" s="5"/>
      <c r="TR1" s="5"/>
      <c r="TS1" s="5"/>
      <c r="TU1" s="5"/>
      <c r="TV1" s="5"/>
      <c r="TW1" s="5"/>
      <c r="TY1" s="5"/>
      <c r="TZ1" s="5"/>
      <c r="UA1" s="5"/>
      <c r="UC1" s="5"/>
      <c r="UD1" s="5"/>
      <c r="UE1" s="5"/>
      <c r="UG1" s="5"/>
      <c r="UH1" s="5"/>
      <c r="UI1" s="5"/>
      <c r="UK1" s="5"/>
      <c r="UL1" s="5"/>
      <c r="UM1" s="5"/>
      <c r="UO1" s="5"/>
      <c r="UP1" s="5"/>
      <c r="UQ1" s="5"/>
      <c r="US1" s="5"/>
      <c r="UT1" s="5"/>
      <c r="UU1" s="5"/>
      <c r="UW1" s="5"/>
      <c r="UX1" s="5"/>
      <c r="UY1" s="5"/>
      <c r="VA1" s="5"/>
      <c r="VB1" s="5"/>
      <c r="VC1" s="5"/>
      <c r="VE1" s="5"/>
      <c r="VF1" s="5"/>
      <c r="VG1" s="5"/>
      <c r="VI1" s="5"/>
      <c r="VJ1" s="5"/>
      <c r="VK1" s="5"/>
      <c r="VM1" s="5"/>
      <c r="VN1" s="5"/>
      <c r="VO1" s="5"/>
      <c r="VQ1" s="5"/>
      <c r="VR1" s="5"/>
      <c r="VS1" s="5"/>
      <c r="VU1" s="5"/>
      <c r="VV1" s="5"/>
      <c r="VW1" s="5"/>
      <c r="VY1" s="5"/>
      <c r="VZ1" s="5"/>
      <c r="WA1" s="5"/>
      <c r="WC1" s="5"/>
      <c r="WD1" s="5"/>
      <c r="WE1" s="5"/>
      <c r="WG1" s="5"/>
      <c r="WH1" s="5"/>
      <c r="WI1" s="5"/>
      <c r="WK1" s="5"/>
      <c r="WL1" s="5"/>
      <c r="WM1" s="5"/>
      <c r="WO1" s="5"/>
      <c r="WP1" s="5"/>
      <c r="WQ1" s="5"/>
      <c r="WS1" s="5"/>
      <c r="WT1" s="5"/>
      <c r="WU1" s="5"/>
      <c r="WW1" s="5"/>
      <c r="WX1" s="5"/>
      <c r="WY1" s="5"/>
      <c r="XA1" s="5"/>
      <c r="XB1" s="5"/>
      <c r="XC1" s="5"/>
      <c r="XE1" s="5"/>
      <c r="XF1" s="5"/>
      <c r="XG1" s="5"/>
      <c r="XI1" s="5"/>
      <c r="XJ1" s="5"/>
      <c r="XK1" s="5"/>
      <c r="XM1" s="5"/>
      <c r="XN1" s="5"/>
      <c r="XO1" s="5"/>
      <c r="XQ1" s="5"/>
      <c r="XR1" s="5"/>
      <c r="XS1" s="5"/>
      <c r="XU1" s="5"/>
      <c r="XV1" s="5"/>
      <c r="XW1" s="5"/>
      <c r="XY1" s="5"/>
      <c r="XZ1" s="5"/>
      <c r="YA1" s="5"/>
      <c r="YC1" s="5"/>
      <c r="YD1" s="5"/>
      <c r="YE1" s="5"/>
      <c r="YG1" s="5"/>
      <c r="YH1" s="5"/>
      <c r="YI1" s="5"/>
      <c r="YK1" s="5"/>
      <c r="YL1" s="5"/>
      <c r="YM1" s="5"/>
      <c r="YO1" s="5"/>
      <c r="YP1" s="5"/>
      <c r="YQ1" s="5"/>
      <c r="YS1" s="5"/>
      <c r="YT1" s="5"/>
      <c r="YU1" s="5"/>
      <c r="YW1" s="5"/>
      <c r="YX1" s="5"/>
      <c r="YY1" s="5"/>
      <c r="ZA1" s="5"/>
      <c r="ZB1" s="5"/>
      <c r="ZC1" s="5"/>
      <c r="ZE1" s="5"/>
      <c r="ZF1" s="5"/>
      <c r="ZG1" s="5"/>
      <c r="ZI1" s="5"/>
      <c r="ZJ1" s="5"/>
      <c r="ZK1" s="5"/>
      <c r="ZM1" s="5"/>
      <c r="ZN1" s="5"/>
      <c r="ZO1" s="5"/>
      <c r="ZQ1" s="5"/>
      <c r="ZR1" s="5"/>
      <c r="ZS1" s="5"/>
      <c r="ZU1" s="5"/>
      <c r="ZV1" s="5"/>
      <c r="ZW1" s="5"/>
      <c r="ZY1" s="5"/>
      <c r="ZZ1" s="5"/>
      <c r="AAA1" s="5"/>
      <c r="AAC1" s="5"/>
      <c r="AAD1" s="5"/>
      <c r="AAE1" s="5"/>
      <c r="AAG1" s="5"/>
      <c r="AAH1" s="5"/>
      <c r="AAI1" s="5"/>
      <c r="AAK1" s="5"/>
      <c r="AAL1" s="5"/>
      <c r="AAM1" s="5"/>
      <c r="AAO1" s="5"/>
      <c r="AAP1" s="5"/>
      <c r="AAQ1" s="5"/>
      <c r="AAS1" s="5"/>
      <c r="AAT1" s="5"/>
      <c r="AAU1" s="5"/>
      <c r="AAW1" s="5"/>
      <c r="AAX1" s="5"/>
      <c r="AAY1" s="5"/>
      <c r="ABA1" s="5"/>
      <c r="ABB1" s="5"/>
      <c r="ABC1" s="5"/>
      <c r="ABE1" s="5"/>
      <c r="ABF1" s="5"/>
      <c r="ABG1" s="5"/>
      <c r="ABI1" s="5"/>
      <c r="ABJ1" s="5"/>
      <c r="ABK1" s="5"/>
      <c r="ABM1" s="5"/>
      <c r="ABN1" s="5"/>
      <c r="ABO1" s="5"/>
      <c r="ABQ1" s="5"/>
      <c r="ABR1" s="5"/>
      <c r="ABS1" s="5"/>
      <c r="ABU1" s="5"/>
      <c r="ABV1" s="5"/>
      <c r="ABW1" s="5"/>
      <c r="ABY1" s="5"/>
      <c r="ABZ1" s="5"/>
      <c r="ACA1" s="5"/>
      <c r="ACC1" s="5"/>
      <c r="ACD1" s="5"/>
      <c r="ACE1" s="5"/>
      <c r="ACG1" s="5"/>
      <c r="ACH1" s="5"/>
      <c r="ACI1" s="5"/>
      <c r="ACK1" s="5"/>
      <c r="ACL1" s="5"/>
      <c r="ACM1" s="5"/>
      <c r="ACO1" s="5"/>
      <c r="ACP1" s="5"/>
      <c r="ACQ1" s="5"/>
      <c r="ACS1" s="5"/>
      <c r="ACT1" s="5"/>
      <c r="ACU1" s="5"/>
      <c r="ACW1" s="5"/>
      <c r="ACX1" s="5"/>
      <c r="ACY1" s="5"/>
      <c r="ADA1" s="5"/>
      <c r="ADB1" s="5"/>
      <c r="ADC1" s="5"/>
      <c r="ADE1" s="5"/>
      <c r="ADF1" s="5"/>
      <c r="ADG1" s="5"/>
      <c r="ADI1" s="5"/>
      <c r="ADJ1" s="5"/>
      <c r="ADK1" s="5"/>
      <c r="ADM1" s="5"/>
      <c r="ADN1" s="5"/>
      <c r="ADO1" s="5"/>
      <c r="ADQ1" s="5"/>
      <c r="ADR1" s="5"/>
      <c r="ADS1" s="5"/>
      <c r="ADU1" s="5"/>
      <c r="ADV1" s="5"/>
      <c r="ADW1" s="5"/>
      <c r="ADY1" s="5"/>
      <c r="ADZ1" s="5"/>
      <c r="AEA1" s="5"/>
      <c r="AEC1" s="5"/>
      <c r="AED1" s="5"/>
      <c r="AEE1" s="5"/>
      <c r="AEG1" s="5"/>
      <c r="AEH1" s="5"/>
      <c r="AEI1" s="5"/>
      <c r="AEK1" s="5"/>
      <c r="AEL1" s="5"/>
      <c r="AEM1" s="5"/>
      <c r="AEO1" s="5"/>
      <c r="AEP1" s="5"/>
      <c r="AEQ1" s="5"/>
      <c r="AES1" s="5"/>
      <c r="AET1" s="5"/>
      <c r="AEU1" s="5"/>
      <c r="AEW1" s="5"/>
      <c r="AEX1" s="5"/>
      <c r="AEY1" s="5"/>
      <c r="AFA1" s="5"/>
      <c r="AFB1" s="5"/>
      <c r="AFC1" s="5"/>
      <c r="AFE1" s="5"/>
      <c r="AFF1" s="5"/>
      <c r="AFG1" s="5"/>
      <c r="AFI1" s="5"/>
      <c r="AFJ1" s="5"/>
      <c r="AFK1" s="5"/>
      <c r="AFM1" s="5"/>
      <c r="AFN1" s="5"/>
      <c r="AFO1" s="5"/>
      <c r="AFQ1" s="5"/>
      <c r="AFR1" s="5"/>
      <c r="AFS1" s="5"/>
      <c r="AFU1" s="5"/>
      <c r="AFV1" s="5"/>
      <c r="AFW1" s="5"/>
      <c r="AFY1" s="5"/>
      <c r="AFZ1" s="5"/>
      <c r="AGA1" s="5"/>
      <c r="AGC1" s="5"/>
      <c r="AGD1" s="5"/>
      <c r="AGE1" s="5"/>
      <c r="AGG1" s="5"/>
      <c r="AGH1" s="5"/>
      <c r="AGI1" s="5"/>
      <c r="AGK1" s="5"/>
      <c r="AGL1" s="5"/>
      <c r="AGM1" s="5"/>
      <c r="AGO1" s="5"/>
      <c r="AGP1" s="5"/>
      <c r="AGQ1" s="5"/>
      <c r="AGS1" s="5"/>
      <c r="AGT1" s="5"/>
      <c r="AGU1" s="5"/>
      <c r="AGW1" s="5"/>
      <c r="AGX1" s="5"/>
      <c r="AGY1" s="5"/>
      <c r="AHA1" s="5"/>
      <c r="AHB1" s="5"/>
      <c r="AHC1" s="5"/>
      <c r="AHE1" s="5"/>
      <c r="AHF1" s="5"/>
      <c r="AHG1" s="5"/>
      <c r="AHI1" s="5"/>
      <c r="AHJ1" s="5"/>
      <c r="AHK1" s="5"/>
      <c r="AHM1" s="5"/>
      <c r="AHN1" s="5"/>
      <c r="AHO1" s="5"/>
      <c r="AHQ1" s="5"/>
      <c r="AHR1" s="5"/>
      <c r="AHS1" s="5"/>
      <c r="AHU1" s="5"/>
      <c r="AHV1" s="5"/>
      <c r="AHW1" s="5"/>
      <c r="AHY1" s="5"/>
      <c r="AHZ1" s="5"/>
      <c r="AIA1" s="5"/>
      <c r="AIC1" s="5"/>
      <c r="AID1" s="5"/>
      <c r="AIE1" s="5"/>
      <c r="AIG1" s="5"/>
      <c r="AIH1" s="5"/>
      <c r="AII1" s="5"/>
      <c r="AIK1" s="5"/>
      <c r="AIL1" s="5"/>
      <c r="AIM1" s="5"/>
      <c r="AIO1" s="5"/>
      <c r="AIP1" s="5"/>
      <c r="AIQ1" s="5"/>
      <c r="AIS1" s="5"/>
      <c r="AIT1" s="5"/>
      <c r="AIU1" s="5"/>
      <c r="AIW1" s="5"/>
      <c r="AIX1" s="5"/>
      <c r="AIY1" s="5"/>
      <c r="AJA1" s="5"/>
      <c r="AJB1" s="5"/>
      <c r="AJC1" s="5"/>
      <c r="AJE1" s="5"/>
      <c r="AJF1" s="5"/>
      <c r="AJG1" s="5"/>
      <c r="AJI1" s="5"/>
      <c r="AJJ1" s="5"/>
      <c r="AJK1" s="5"/>
      <c r="AJM1" s="5"/>
      <c r="AJN1" s="5"/>
      <c r="AJO1" s="5"/>
      <c r="AJQ1" s="5"/>
      <c r="AJR1" s="5"/>
      <c r="AJS1" s="5"/>
      <c r="AJU1" s="5"/>
      <c r="AJV1" s="5"/>
      <c r="AJW1" s="5"/>
      <c r="AJY1" s="5"/>
      <c r="AJZ1" s="5"/>
      <c r="AKA1" s="5"/>
      <c r="AKC1" s="5"/>
      <c r="AKD1" s="5"/>
      <c r="AKE1" s="5"/>
      <c r="AKG1" s="5"/>
      <c r="AKH1" s="5"/>
      <c r="AKI1" s="5"/>
      <c r="AKK1" s="5"/>
      <c r="AKL1" s="5"/>
      <c r="AKM1" s="5"/>
      <c r="AKO1" s="5"/>
      <c r="AKP1" s="5"/>
      <c r="AKQ1" s="5"/>
      <c r="AKS1" s="5"/>
      <c r="AKT1" s="5"/>
      <c r="AKU1" s="5"/>
      <c r="AKW1" s="5"/>
      <c r="AKX1" s="5"/>
      <c r="AKY1" s="5"/>
      <c r="ALA1" s="5"/>
      <c r="ALB1" s="5"/>
      <c r="ALC1" s="5"/>
      <c r="ALE1" s="5"/>
      <c r="ALF1" s="5"/>
      <c r="ALG1" s="5"/>
      <c r="ALI1" s="5"/>
      <c r="ALJ1" s="5"/>
      <c r="ALK1" s="5"/>
      <c r="ALM1" s="5"/>
      <c r="ALN1" s="5"/>
      <c r="ALO1" s="5"/>
      <c r="ALQ1" s="5"/>
      <c r="ALR1" s="5"/>
      <c r="ALS1" s="5"/>
      <c r="ALU1" s="5"/>
      <c r="ALV1" s="5"/>
      <c r="ALW1" s="5"/>
      <c r="ALY1" s="5"/>
      <c r="ALZ1" s="5"/>
      <c r="AMA1" s="5"/>
      <c r="AMC1" s="5"/>
      <c r="AMD1" s="5"/>
      <c r="AME1" s="5"/>
      <c r="AMG1" s="5"/>
      <c r="AMH1" s="5"/>
      <c r="AMI1" s="5"/>
      <c r="AMK1" s="5"/>
      <c r="AML1" s="5"/>
      <c r="AMM1" s="5"/>
      <c r="AMO1" s="5"/>
      <c r="AMP1" s="5"/>
      <c r="AMQ1" s="5"/>
      <c r="AMS1" s="5"/>
      <c r="AMT1" s="5"/>
      <c r="AMU1" s="5"/>
      <c r="AMW1" s="5"/>
      <c r="AMX1" s="5"/>
      <c r="AMY1" s="5"/>
      <c r="ANA1" s="5"/>
      <c r="ANB1" s="5"/>
      <c r="ANC1" s="5"/>
      <c r="ANE1" s="5"/>
      <c r="ANF1" s="5"/>
      <c r="ANG1" s="5"/>
      <c r="ANI1" s="5"/>
      <c r="ANJ1" s="5"/>
      <c r="ANK1" s="5"/>
      <c r="ANM1" s="5"/>
      <c r="ANN1" s="5"/>
      <c r="ANO1" s="5"/>
      <c r="ANQ1" s="5"/>
      <c r="ANR1" s="5"/>
      <c r="ANS1" s="5"/>
      <c r="ANU1" s="5"/>
      <c r="ANV1" s="5"/>
      <c r="ANW1" s="5"/>
      <c r="ANY1" s="5"/>
      <c r="ANZ1" s="5"/>
      <c r="AOA1" s="5"/>
      <c r="AOC1" s="5"/>
      <c r="AOD1" s="5"/>
      <c r="AOE1" s="5"/>
      <c r="AOG1" s="5"/>
      <c r="AOH1" s="5"/>
      <c r="AOI1" s="5"/>
      <c r="AOK1" s="5"/>
      <c r="AOL1" s="5"/>
      <c r="AOM1" s="5"/>
      <c r="AOO1" s="5"/>
      <c r="AOP1" s="5"/>
      <c r="AOQ1" s="5"/>
      <c r="AOS1" s="5"/>
      <c r="AOT1" s="5"/>
      <c r="AOU1" s="5"/>
      <c r="AOW1" s="5"/>
      <c r="AOX1" s="5"/>
      <c r="AOY1" s="5"/>
      <c r="APA1" s="5"/>
      <c r="APB1" s="5"/>
      <c r="APC1" s="5"/>
      <c r="APE1" s="5"/>
      <c r="APF1" s="5"/>
      <c r="APG1" s="5"/>
      <c r="API1" s="5"/>
      <c r="APJ1" s="5"/>
      <c r="APK1" s="5"/>
      <c r="APM1" s="5"/>
      <c r="APN1" s="5"/>
      <c r="APO1" s="5"/>
      <c r="APQ1" s="5"/>
      <c r="APR1" s="5"/>
      <c r="APS1" s="5"/>
      <c r="APU1" s="5"/>
      <c r="APV1" s="5"/>
      <c r="APW1" s="5"/>
      <c r="APY1" s="5"/>
      <c r="APZ1" s="5"/>
      <c r="AQA1" s="5"/>
      <c r="AQC1" s="5"/>
      <c r="AQD1" s="5"/>
      <c r="AQE1" s="5"/>
      <c r="AQG1" s="5"/>
      <c r="AQH1" s="5"/>
      <c r="AQI1" s="5"/>
      <c r="AQK1" s="5"/>
      <c r="AQL1" s="5"/>
      <c r="AQM1" s="5"/>
      <c r="AQO1" s="5"/>
      <c r="AQP1" s="5"/>
      <c r="AQQ1" s="5"/>
      <c r="AQS1" s="5"/>
      <c r="AQT1" s="5"/>
      <c r="AQU1" s="5"/>
      <c r="AQW1" s="5"/>
      <c r="AQX1" s="5"/>
      <c r="AQY1" s="5"/>
      <c r="ARA1" s="5"/>
      <c r="ARB1" s="5"/>
      <c r="ARC1" s="5"/>
      <c r="ARE1" s="5"/>
      <c r="ARF1" s="5"/>
      <c r="ARG1" s="5"/>
      <c r="ARI1" s="5"/>
      <c r="ARJ1" s="5"/>
      <c r="ARK1" s="5"/>
      <c r="ARM1" s="5"/>
      <c r="ARN1" s="5"/>
      <c r="ARO1" s="5"/>
      <c r="ARQ1" s="5"/>
      <c r="ARR1" s="5"/>
      <c r="ARS1" s="5"/>
      <c r="ARU1" s="5"/>
      <c r="ARV1" s="5"/>
      <c r="ARW1" s="5"/>
      <c r="ARY1" s="5"/>
      <c r="ARZ1" s="5"/>
      <c r="ASA1" s="5"/>
      <c r="ASC1" s="5"/>
      <c r="ASD1" s="5"/>
      <c r="ASE1" s="5"/>
      <c r="ASG1" s="5"/>
      <c r="ASH1" s="5"/>
      <c r="ASI1" s="5"/>
      <c r="ASK1" s="5"/>
      <c r="ASL1" s="5"/>
      <c r="ASM1" s="5"/>
      <c r="ASO1" s="5"/>
      <c r="ASP1" s="5"/>
      <c r="ASQ1" s="5"/>
      <c r="ASS1" s="5"/>
      <c r="AST1" s="5"/>
      <c r="ASU1" s="5"/>
      <c r="ASW1" s="5"/>
      <c r="ASX1" s="5"/>
      <c r="ASY1" s="5"/>
      <c r="ATA1" s="5"/>
      <c r="ATB1" s="5"/>
      <c r="ATC1" s="5"/>
      <c r="ATE1" s="5"/>
      <c r="ATF1" s="5"/>
      <c r="ATG1" s="5"/>
      <c r="ATI1" s="5"/>
      <c r="ATJ1" s="5"/>
      <c r="ATK1" s="5"/>
      <c r="ATM1" s="5"/>
      <c r="ATN1" s="5"/>
      <c r="ATO1" s="5"/>
      <c r="ATQ1" s="5"/>
      <c r="ATR1" s="5"/>
      <c r="ATS1" s="5"/>
      <c r="ATU1" s="5"/>
      <c r="ATV1" s="5"/>
      <c r="ATW1" s="5"/>
      <c r="ATY1" s="5"/>
      <c r="ATZ1" s="5"/>
      <c r="AUA1" s="5"/>
      <c r="AUC1" s="5"/>
      <c r="AUD1" s="5"/>
      <c r="AUE1" s="5"/>
      <c r="AUG1" s="5"/>
      <c r="AUH1" s="5"/>
      <c r="AUI1" s="5"/>
      <c r="AUK1" s="5"/>
      <c r="AUL1" s="5"/>
      <c r="AUM1" s="5"/>
      <c r="AUO1" s="5"/>
      <c r="AUP1" s="5"/>
      <c r="AUQ1" s="5"/>
      <c r="AUS1" s="5"/>
      <c r="AUT1" s="5"/>
      <c r="AUU1" s="5"/>
      <c r="AUW1" s="5"/>
      <c r="AUX1" s="5"/>
      <c r="AUY1" s="5"/>
      <c r="AVA1" s="5"/>
      <c r="AVB1" s="5"/>
      <c r="AVC1" s="5"/>
      <c r="AVE1" s="5"/>
      <c r="AVF1" s="5"/>
      <c r="AVG1" s="5"/>
      <c r="AVI1" s="5"/>
      <c r="AVJ1" s="5"/>
      <c r="AVK1" s="5"/>
      <c r="AVM1" s="5"/>
      <c r="AVN1" s="5"/>
      <c r="AVO1" s="5"/>
      <c r="AVQ1" s="5"/>
      <c r="AVR1" s="5"/>
      <c r="AVS1" s="5"/>
      <c r="AVU1" s="5"/>
      <c r="AVV1" s="5"/>
      <c r="AVW1" s="5"/>
      <c r="AVY1" s="5"/>
      <c r="AVZ1" s="5"/>
      <c r="AWA1" s="5"/>
      <c r="AWC1" s="5"/>
      <c r="AWD1" s="5"/>
      <c r="AWE1" s="5"/>
      <c r="AWG1" s="5"/>
      <c r="AWH1" s="5"/>
      <c r="AWI1" s="5"/>
      <c r="AWK1" s="5"/>
      <c r="AWL1" s="5"/>
      <c r="AWM1" s="5"/>
      <c r="AWO1" s="5"/>
      <c r="AWP1" s="5"/>
      <c r="AWQ1" s="5"/>
      <c r="AWS1" s="5"/>
      <c r="AWT1" s="5"/>
      <c r="AWU1" s="5"/>
      <c r="AWW1" s="5"/>
      <c r="AWX1" s="5"/>
      <c r="AWY1" s="5"/>
      <c r="AXA1" s="5"/>
      <c r="AXB1" s="5"/>
      <c r="AXC1" s="5"/>
      <c r="AXE1" s="5"/>
      <c r="AXF1" s="5"/>
      <c r="AXG1" s="5"/>
      <c r="AXI1" s="5"/>
      <c r="AXJ1" s="5"/>
      <c r="AXK1" s="5"/>
      <c r="AXM1" s="5"/>
      <c r="AXN1" s="5"/>
      <c r="AXO1" s="5"/>
      <c r="AXQ1" s="5"/>
      <c r="AXR1" s="5"/>
      <c r="AXS1" s="5"/>
      <c r="AXU1" s="5"/>
      <c r="AXV1" s="5"/>
      <c r="AXW1" s="5"/>
      <c r="AXY1" s="5"/>
      <c r="AXZ1" s="5"/>
      <c r="AYA1" s="5"/>
      <c r="AYC1" s="5"/>
      <c r="AYD1" s="5"/>
      <c r="AYE1" s="5"/>
      <c r="AYG1" s="5"/>
      <c r="AYH1" s="5"/>
      <c r="AYI1" s="5"/>
      <c r="AYK1" s="5"/>
      <c r="AYL1" s="5"/>
      <c r="AYM1" s="5"/>
      <c r="AYO1" s="5"/>
      <c r="AYP1" s="5"/>
      <c r="AYQ1" s="5"/>
      <c r="AYS1" s="5"/>
      <c r="AYT1" s="5"/>
      <c r="AYU1" s="5"/>
      <c r="AYW1" s="5"/>
      <c r="AYX1" s="5"/>
      <c r="AYY1" s="5"/>
      <c r="AZA1" s="5"/>
      <c r="AZB1" s="5"/>
      <c r="AZC1" s="5"/>
      <c r="AZE1" s="5"/>
      <c r="AZF1" s="5"/>
      <c r="AZG1" s="5"/>
      <c r="AZI1" s="5"/>
      <c r="AZJ1" s="5"/>
      <c r="AZK1" s="5"/>
      <c r="AZM1" s="5"/>
      <c r="AZN1" s="5"/>
      <c r="AZO1" s="5"/>
      <c r="AZQ1" s="5"/>
      <c r="AZR1" s="5"/>
      <c r="AZS1" s="5"/>
      <c r="AZU1" s="5"/>
      <c r="AZV1" s="5"/>
      <c r="AZW1" s="5"/>
      <c r="AZY1" s="5"/>
      <c r="AZZ1" s="5"/>
      <c r="BAA1" s="5"/>
      <c r="BAC1" s="5"/>
      <c r="BAD1" s="5"/>
      <c r="BAE1" s="5"/>
      <c r="BAG1" s="5"/>
      <c r="BAH1" s="5"/>
      <c r="BAI1" s="5"/>
      <c r="BAK1" s="5"/>
      <c r="BAL1" s="5"/>
      <c r="BAM1" s="5"/>
      <c r="BAO1" s="5"/>
      <c r="BAP1" s="5"/>
      <c r="BAQ1" s="5"/>
      <c r="BAS1" s="5"/>
      <c r="BAT1" s="5"/>
      <c r="BAU1" s="5"/>
      <c r="BAW1" s="5"/>
      <c r="BAX1" s="5"/>
      <c r="BAY1" s="5"/>
      <c r="BBA1" s="5"/>
      <c r="BBB1" s="5"/>
      <c r="BBC1" s="5"/>
      <c r="BBE1" s="5"/>
      <c r="BBF1" s="5"/>
      <c r="BBG1" s="5"/>
      <c r="BBI1" s="5"/>
      <c r="BBJ1" s="5"/>
      <c r="BBK1" s="5"/>
      <c r="BBM1" s="5"/>
      <c r="BBN1" s="5"/>
      <c r="BBO1" s="5"/>
      <c r="BBQ1" s="5"/>
      <c r="BBR1" s="5"/>
      <c r="BBS1" s="5"/>
      <c r="BBU1" s="5"/>
      <c r="BBV1" s="5"/>
      <c r="BBW1" s="5"/>
      <c r="BBY1" s="5"/>
      <c r="BBZ1" s="5"/>
      <c r="BCA1" s="5"/>
      <c r="BCC1" s="5"/>
      <c r="BCD1" s="5"/>
      <c r="BCE1" s="5"/>
      <c r="BCG1" s="5"/>
      <c r="BCH1" s="5"/>
      <c r="BCI1" s="5"/>
      <c r="BCK1" s="5"/>
      <c r="BCL1" s="5"/>
      <c r="BCM1" s="5"/>
      <c r="BCO1" s="5"/>
      <c r="BCP1" s="5"/>
      <c r="BCQ1" s="5"/>
      <c r="BCS1" s="5"/>
      <c r="BCT1" s="5"/>
      <c r="BCU1" s="5"/>
      <c r="BCW1" s="5"/>
      <c r="BCX1" s="5"/>
      <c r="BCY1" s="5"/>
      <c r="BDA1" s="5"/>
      <c r="BDB1" s="5"/>
      <c r="BDC1" s="5"/>
      <c r="BDE1" s="5"/>
      <c r="BDF1" s="5"/>
      <c r="BDG1" s="5"/>
      <c r="BDI1" s="5"/>
      <c r="BDJ1" s="5"/>
      <c r="BDK1" s="5"/>
      <c r="BDM1" s="5"/>
      <c r="BDN1" s="5"/>
      <c r="BDO1" s="5"/>
      <c r="BDQ1" s="5"/>
      <c r="BDR1" s="5"/>
      <c r="BDS1" s="5"/>
      <c r="BDU1" s="5"/>
      <c r="BDV1" s="5"/>
      <c r="BDW1" s="5"/>
      <c r="BDY1" s="5"/>
      <c r="BDZ1" s="5"/>
      <c r="BEA1" s="5"/>
      <c r="BEC1" s="5"/>
      <c r="BED1" s="5"/>
      <c r="BEE1" s="5"/>
      <c r="BEG1" s="5"/>
      <c r="BEH1" s="5"/>
      <c r="BEI1" s="5"/>
      <c r="BEK1" s="5"/>
      <c r="BEL1" s="5"/>
      <c r="BEM1" s="5"/>
      <c r="BEO1" s="5"/>
      <c r="BEP1" s="5"/>
      <c r="BEQ1" s="5"/>
      <c r="BES1" s="5"/>
      <c r="BET1" s="5"/>
      <c r="BEU1" s="5"/>
      <c r="BEW1" s="5"/>
      <c r="BEX1" s="5"/>
      <c r="BEY1" s="5"/>
      <c r="BFA1" s="5"/>
      <c r="BFB1" s="5"/>
      <c r="BFC1" s="5"/>
      <c r="BFE1" s="5"/>
      <c r="BFF1" s="5"/>
      <c r="BFG1" s="5"/>
      <c r="BFI1" s="5"/>
      <c r="BFJ1" s="5"/>
      <c r="BFK1" s="5"/>
      <c r="BFM1" s="5"/>
      <c r="BFN1" s="5"/>
      <c r="BFO1" s="5"/>
      <c r="BFQ1" s="5"/>
      <c r="BFR1" s="5"/>
      <c r="BFS1" s="5"/>
      <c r="BFU1" s="5"/>
      <c r="BFV1" s="5"/>
      <c r="BFW1" s="5"/>
      <c r="BFY1" s="5"/>
      <c r="BFZ1" s="5"/>
      <c r="BGA1" s="5"/>
      <c r="BGC1" s="5"/>
      <c r="BGD1" s="5"/>
      <c r="BGE1" s="5"/>
      <c r="BGG1" s="5"/>
      <c r="BGH1" s="5"/>
      <c r="BGI1" s="5"/>
      <c r="BGK1" s="5"/>
      <c r="BGL1" s="5"/>
      <c r="BGM1" s="5"/>
      <c r="BGO1" s="5"/>
      <c r="BGP1" s="5"/>
      <c r="BGQ1" s="5"/>
      <c r="BGS1" s="5"/>
      <c r="BGT1" s="5"/>
      <c r="BGU1" s="5"/>
      <c r="BGW1" s="5"/>
      <c r="BGX1" s="5"/>
      <c r="BGY1" s="5"/>
      <c r="BHA1" s="5"/>
      <c r="BHB1" s="5"/>
      <c r="BHC1" s="5"/>
      <c r="BHE1" s="5"/>
      <c r="BHF1" s="5"/>
      <c r="BHG1" s="5"/>
      <c r="BHI1" s="5"/>
      <c r="BHJ1" s="5"/>
      <c r="BHK1" s="5"/>
      <c r="BHM1" s="5"/>
      <c r="BHN1" s="5"/>
      <c r="BHO1" s="5"/>
      <c r="BHQ1" s="5"/>
      <c r="BHR1" s="5"/>
      <c r="BHS1" s="5"/>
      <c r="BHU1" s="5"/>
      <c r="BHV1" s="5"/>
      <c r="BHW1" s="5"/>
      <c r="BHY1" s="5"/>
      <c r="BHZ1" s="5"/>
      <c r="BIA1" s="5"/>
      <c r="BIC1" s="5"/>
      <c r="BID1" s="5"/>
      <c r="BIE1" s="5"/>
      <c r="BIG1" s="5"/>
      <c r="BIH1" s="5"/>
      <c r="BII1" s="5"/>
      <c r="BIK1" s="5"/>
      <c r="BIL1" s="5"/>
      <c r="BIM1" s="5"/>
      <c r="BIO1" s="5"/>
      <c r="BIP1" s="5"/>
      <c r="BIQ1" s="5"/>
      <c r="BIS1" s="5"/>
      <c r="BIT1" s="5"/>
      <c r="BIU1" s="5"/>
      <c r="BIW1" s="5"/>
      <c r="BIX1" s="5"/>
      <c r="BIY1" s="5"/>
      <c r="BJA1" s="5"/>
      <c r="BJB1" s="5"/>
      <c r="BJC1" s="5"/>
      <c r="BJE1" s="5"/>
      <c r="BJF1" s="5"/>
      <c r="BJG1" s="5"/>
      <c r="BJI1" s="5"/>
      <c r="BJJ1" s="5"/>
      <c r="BJK1" s="5"/>
      <c r="BJM1" s="5"/>
      <c r="BJN1" s="5"/>
      <c r="BJO1" s="5"/>
      <c r="BJQ1" s="5"/>
      <c r="BJR1" s="5"/>
      <c r="BJS1" s="5"/>
      <c r="BJU1" s="5"/>
      <c r="BJV1" s="5"/>
      <c r="BJW1" s="5"/>
      <c r="BJY1" s="5"/>
      <c r="BJZ1" s="5"/>
      <c r="BKA1" s="5"/>
      <c r="BKC1" s="5"/>
      <c r="BKD1" s="5"/>
      <c r="BKE1" s="5"/>
      <c r="BKG1" s="5"/>
      <c r="BKH1" s="5"/>
      <c r="BKI1" s="5"/>
      <c r="BKK1" s="5"/>
      <c r="BKL1" s="5"/>
      <c r="BKM1" s="5"/>
      <c r="BKO1" s="5"/>
      <c r="BKP1" s="5"/>
      <c r="BKQ1" s="5"/>
      <c r="BKS1" s="5"/>
      <c r="BKT1" s="5"/>
      <c r="BKU1" s="5"/>
      <c r="BKW1" s="5"/>
      <c r="BKX1" s="5"/>
      <c r="BKY1" s="5"/>
      <c r="BLA1" s="5"/>
      <c r="BLB1" s="5"/>
      <c r="BLC1" s="5"/>
      <c r="BLE1" s="5"/>
      <c r="BLF1" s="5"/>
      <c r="BLG1" s="5"/>
      <c r="BLI1" s="5"/>
      <c r="BLJ1" s="5"/>
      <c r="BLK1" s="5"/>
      <c r="BLM1" s="5"/>
      <c r="BLN1" s="5"/>
      <c r="BLO1" s="5"/>
      <c r="BLQ1" s="5"/>
      <c r="BLR1" s="5"/>
      <c r="BLS1" s="5"/>
      <c r="BLU1" s="5"/>
      <c r="BLV1" s="5"/>
      <c r="BLW1" s="5"/>
      <c r="BLY1" s="5"/>
      <c r="BLZ1" s="5"/>
      <c r="BMA1" s="5"/>
      <c r="BMC1" s="5"/>
      <c r="BMD1" s="5"/>
      <c r="BME1" s="5"/>
      <c r="BMG1" s="5"/>
      <c r="BMH1" s="5"/>
      <c r="BMI1" s="5"/>
      <c r="BMK1" s="5"/>
      <c r="BML1" s="5"/>
      <c r="BMM1" s="5"/>
      <c r="BMO1" s="5"/>
      <c r="BMP1" s="5"/>
      <c r="BMQ1" s="5"/>
      <c r="BMS1" s="5"/>
      <c r="BMT1" s="5"/>
      <c r="BMU1" s="5"/>
      <c r="BMW1" s="5"/>
      <c r="BMX1" s="5"/>
      <c r="BMY1" s="5"/>
      <c r="BNA1" s="5"/>
      <c r="BNB1" s="5"/>
      <c r="BNC1" s="5"/>
      <c r="BNE1" s="5"/>
      <c r="BNF1" s="5"/>
      <c r="BNG1" s="5"/>
      <c r="BNI1" s="5"/>
      <c r="BNJ1" s="5"/>
      <c r="BNK1" s="5"/>
      <c r="BNM1" s="5"/>
      <c r="BNN1" s="5"/>
      <c r="BNO1" s="5"/>
      <c r="BNQ1" s="5"/>
      <c r="BNR1" s="5"/>
      <c r="BNS1" s="5"/>
      <c r="BNU1" s="5"/>
      <c r="BNV1" s="5"/>
      <c r="BNW1" s="5"/>
      <c r="BNY1" s="5"/>
      <c r="BNZ1" s="5"/>
      <c r="BOA1" s="5"/>
      <c r="BOC1" s="5"/>
      <c r="BOD1" s="5"/>
      <c r="BOE1" s="5"/>
      <c r="BOG1" s="5"/>
      <c r="BOH1" s="5"/>
      <c r="BOI1" s="5"/>
      <c r="BOK1" s="5"/>
      <c r="BOL1" s="5"/>
      <c r="BOM1" s="5"/>
      <c r="BOO1" s="5"/>
      <c r="BOP1" s="5"/>
      <c r="BOQ1" s="5"/>
      <c r="BOS1" s="5"/>
      <c r="BOT1" s="5"/>
      <c r="BOU1" s="5"/>
      <c r="BOW1" s="5"/>
      <c r="BOX1" s="5"/>
      <c r="BOY1" s="5"/>
      <c r="BPA1" s="5"/>
      <c r="BPB1" s="5"/>
      <c r="BPC1" s="5"/>
      <c r="BPE1" s="5"/>
      <c r="BPF1" s="5"/>
      <c r="BPG1" s="5"/>
      <c r="BPI1" s="5"/>
      <c r="BPJ1" s="5"/>
      <c r="BPK1" s="5"/>
      <c r="BPM1" s="5"/>
      <c r="BPN1" s="5"/>
      <c r="BPO1" s="5"/>
      <c r="BPQ1" s="5"/>
      <c r="BPR1" s="5"/>
      <c r="BPS1" s="5"/>
      <c r="BPU1" s="5"/>
      <c r="BPV1" s="5"/>
      <c r="BPW1" s="5"/>
      <c r="BPY1" s="5"/>
      <c r="BPZ1" s="5"/>
      <c r="BQA1" s="5"/>
      <c r="BQC1" s="5"/>
      <c r="BQD1" s="5"/>
      <c r="BQE1" s="5"/>
      <c r="BQG1" s="5"/>
      <c r="BQH1" s="5"/>
      <c r="BQI1" s="5"/>
      <c r="BQK1" s="5"/>
      <c r="BQL1" s="5"/>
      <c r="BQM1" s="5"/>
      <c r="BQO1" s="5"/>
      <c r="BQP1" s="5"/>
      <c r="BQQ1" s="5"/>
      <c r="BQS1" s="5"/>
      <c r="BQT1" s="5"/>
      <c r="BQU1" s="5"/>
      <c r="BQW1" s="5"/>
      <c r="BQX1" s="5"/>
      <c r="BQY1" s="5"/>
      <c r="BRA1" s="5"/>
      <c r="BRB1" s="5"/>
      <c r="BRC1" s="5"/>
      <c r="BRE1" s="5"/>
      <c r="BRF1" s="5"/>
      <c r="BRG1" s="5"/>
      <c r="BRI1" s="5"/>
      <c r="BRJ1" s="5"/>
      <c r="BRK1" s="5"/>
      <c r="BRM1" s="5"/>
      <c r="BRN1" s="5"/>
      <c r="BRO1" s="5"/>
      <c r="BRQ1" s="5"/>
      <c r="BRR1" s="5"/>
      <c r="BRS1" s="5"/>
      <c r="BRU1" s="5"/>
      <c r="BRV1" s="5"/>
      <c r="BRW1" s="5"/>
      <c r="BRY1" s="5"/>
      <c r="BRZ1" s="5"/>
      <c r="BSA1" s="5"/>
      <c r="BSC1" s="5"/>
      <c r="BSD1" s="5"/>
      <c r="BSE1" s="5"/>
      <c r="BSG1" s="5"/>
      <c r="BSH1" s="5"/>
      <c r="BSI1" s="5"/>
      <c r="BSK1" s="5"/>
      <c r="BSL1" s="5"/>
      <c r="BSM1" s="5"/>
      <c r="BSO1" s="5"/>
      <c r="BSP1" s="5"/>
      <c r="BSQ1" s="5"/>
      <c r="BSS1" s="5"/>
      <c r="BST1" s="5"/>
      <c r="BSU1" s="5"/>
      <c r="BSW1" s="5"/>
      <c r="BSX1" s="5"/>
      <c r="BSY1" s="5"/>
      <c r="BTA1" s="5"/>
      <c r="BTB1" s="5"/>
      <c r="BTC1" s="5"/>
      <c r="BTE1" s="5"/>
      <c r="BTF1" s="5"/>
      <c r="BTG1" s="5"/>
      <c r="BTI1" s="5"/>
      <c r="BTJ1" s="5"/>
      <c r="BTK1" s="5"/>
      <c r="BTM1" s="5"/>
      <c r="BTN1" s="5"/>
      <c r="BTO1" s="5"/>
      <c r="BTQ1" s="5"/>
      <c r="BTR1" s="5"/>
      <c r="BTS1" s="5"/>
      <c r="BTU1" s="5"/>
      <c r="BTV1" s="5"/>
      <c r="BTW1" s="5"/>
      <c r="BTY1" s="5"/>
      <c r="BTZ1" s="5"/>
      <c r="BUA1" s="5"/>
      <c r="BUC1" s="5"/>
      <c r="BUD1" s="5"/>
      <c r="BUE1" s="5"/>
      <c r="BUG1" s="5"/>
      <c r="BUH1" s="5"/>
      <c r="BUI1" s="5"/>
      <c r="BUK1" s="5"/>
      <c r="BUL1" s="5"/>
      <c r="BUM1" s="5"/>
      <c r="BUO1" s="5"/>
      <c r="BUP1" s="5"/>
      <c r="BUQ1" s="5"/>
      <c r="BUS1" s="5"/>
      <c r="BUT1" s="5"/>
      <c r="BUU1" s="5"/>
      <c r="BUW1" s="5"/>
      <c r="BUX1" s="5"/>
      <c r="BUY1" s="5"/>
      <c r="BVA1" s="5"/>
      <c r="BVB1" s="5"/>
      <c r="BVC1" s="5"/>
      <c r="BVE1" s="5"/>
      <c r="BVF1" s="5"/>
      <c r="BVG1" s="5"/>
      <c r="BVI1" s="5"/>
      <c r="BVJ1" s="5"/>
      <c r="BVK1" s="5"/>
      <c r="BVM1" s="5"/>
      <c r="BVN1" s="5"/>
      <c r="BVO1" s="5"/>
      <c r="BVQ1" s="5"/>
      <c r="BVR1" s="5"/>
      <c r="BVS1" s="5"/>
      <c r="BVU1" s="5"/>
      <c r="BVV1" s="5"/>
      <c r="BVW1" s="5"/>
      <c r="BVY1" s="5"/>
      <c r="BVZ1" s="5"/>
      <c r="BWA1" s="5"/>
      <c r="BWC1" s="5"/>
      <c r="BWD1" s="5"/>
      <c r="BWE1" s="5"/>
      <c r="BWG1" s="5"/>
      <c r="BWH1" s="5"/>
      <c r="BWI1" s="5"/>
      <c r="BWK1" s="5"/>
      <c r="BWL1" s="5"/>
      <c r="BWM1" s="5"/>
      <c r="BWO1" s="5"/>
      <c r="BWP1" s="5"/>
      <c r="BWQ1" s="5"/>
      <c r="BWS1" s="5"/>
      <c r="BWT1" s="5"/>
      <c r="BWU1" s="5"/>
      <c r="BWW1" s="5"/>
      <c r="BWX1" s="5"/>
      <c r="BWY1" s="5"/>
      <c r="BXA1" s="5"/>
      <c r="BXB1" s="5"/>
      <c r="BXC1" s="5"/>
      <c r="BXE1" s="5"/>
      <c r="BXF1" s="5"/>
      <c r="BXG1" s="5"/>
      <c r="BXI1" s="5"/>
      <c r="BXJ1" s="5"/>
      <c r="BXK1" s="5"/>
      <c r="BXM1" s="5"/>
      <c r="BXN1" s="5"/>
      <c r="BXO1" s="5"/>
      <c r="BXQ1" s="5"/>
      <c r="BXR1" s="5"/>
      <c r="BXS1" s="5"/>
      <c r="BXU1" s="5"/>
      <c r="BXV1" s="5"/>
      <c r="BXW1" s="5"/>
      <c r="BXY1" s="5"/>
      <c r="BXZ1" s="5"/>
      <c r="BYA1" s="5"/>
      <c r="BYC1" s="5"/>
      <c r="BYD1" s="5"/>
      <c r="BYE1" s="5"/>
      <c r="BYG1" s="5"/>
      <c r="BYH1" s="5"/>
      <c r="BYI1" s="5"/>
      <c r="BYK1" s="5"/>
      <c r="BYL1" s="5"/>
      <c r="BYM1" s="5"/>
      <c r="BYO1" s="5"/>
      <c r="BYP1" s="5"/>
      <c r="BYQ1" s="5"/>
      <c r="BYS1" s="5"/>
      <c r="BYT1" s="5"/>
      <c r="BYU1" s="5"/>
      <c r="BYW1" s="5"/>
      <c r="BYX1" s="5"/>
      <c r="BYY1" s="5"/>
      <c r="BZA1" s="5"/>
      <c r="BZB1" s="5"/>
      <c r="BZC1" s="5"/>
      <c r="BZE1" s="5"/>
      <c r="BZF1" s="5"/>
      <c r="BZG1" s="5"/>
      <c r="BZI1" s="5"/>
      <c r="BZJ1" s="5"/>
      <c r="BZK1" s="5"/>
      <c r="BZM1" s="5"/>
      <c r="BZN1" s="5"/>
      <c r="BZO1" s="5"/>
      <c r="BZQ1" s="5"/>
      <c r="BZR1" s="5"/>
      <c r="BZS1" s="5"/>
      <c r="BZU1" s="5"/>
      <c r="BZV1" s="5"/>
      <c r="BZW1" s="5"/>
      <c r="BZY1" s="5"/>
      <c r="BZZ1" s="5"/>
      <c r="CAA1" s="5"/>
      <c r="CAC1" s="5"/>
      <c r="CAD1" s="5"/>
      <c r="CAE1" s="5"/>
      <c r="CAG1" s="5"/>
      <c r="CAH1" s="5"/>
      <c r="CAI1" s="5"/>
      <c r="CAK1" s="5"/>
      <c r="CAL1" s="5"/>
      <c r="CAM1" s="5"/>
      <c r="CAO1" s="5"/>
      <c r="CAP1" s="5"/>
      <c r="CAQ1" s="5"/>
      <c r="CAS1" s="5"/>
      <c r="CAT1" s="5"/>
      <c r="CAU1" s="5"/>
      <c r="CAW1" s="5"/>
      <c r="CAX1" s="5"/>
      <c r="CAY1" s="5"/>
      <c r="CBA1" s="5"/>
      <c r="CBB1" s="5"/>
      <c r="CBC1" s="5"/>
      <c r="CBE1" s="5"/>
      <c r="CBF1" s="5"/>
      <c r="CBG1" s="5"/>
      <c r="CBI1" s="5"/>
      <c r="CBJ1" s="5"/>
      <c r="CBK1" s="5"/>
      <c r="CBM1" s="5"/>
      <c r="CBN1" s="5"/>
      <c r="CBO1" s="5"/>
      <c r="CBQ1" s="5"/>
      <c r="CBR1" s="5"/>
      <c r="CBS1" s="5"/>
      <c r="CBU1" s="5"/>
      <c r="CBV1" s="5"/>
      <c r="CBW1" s="5"/>
      <c r="CBY1" s="5"/>
      <c r="CBZ1" s="5"/>
      <c r="CCA1" s="5"/>
      <c r="CCC1" s="5"/>
      <c r="CCD1" s="5"/>
      <c r="CCE1" s="5"/>
      <c r="CCG1" s="5"/>
      <c r="CCH1" s="5"/>
      <c r="CCI1" s="5"/>
      <c r="CCK1" s="5"/>
      <c r="CCL1" s="5"/>
      <c r="CCM1" s="5"/>
      <c r="CCO1" s="5"/>
      <c r="CCP1" s="5"/>
      <c r="CCQ1" s="5"/>
      <c r="CCS1" s="5"/>
      <c r="CCT1" s="5"/>
      <c r="CCU1" s="5"/>
      <c r="CCW1" s="5"/>
      <c r="CCX1" s="5"/>
      <c r="CCY1" s="5"/>
      <c r="CDA1" s="5"/>
      <c r="CDB1" s="5"/>
      <c r="CDC1" s="5"/>
      <c r="CDE1" s="5"/>
      <c r="CDF1" s="5"/>
      <c r="CDG1" s="5"/>
      <c r="CDI1" s="5"/>
      <c r="CDJ1" s="5"/>
      <c r="CDK1" s="5"/>
      <c r="CDM1" s="5"/>
      <c r="CDN1" s="5"/>
      <c r="CDO1" s="5"/>
      <c r="CDQ1" s="5"/>
      <c r="CDR1" s="5"/>
      <c r="CDS1" s="5"/>
      <c r="CDU1" s="5"/>
      <c r="CDV1" s="5"/>
      <c r="CDW1" s="5"/>
      <c r="CDY1" s="5"/>
      <c r="CDZ1" s="5"/>
      <c r="CEA1" s="5"/>
      <c r="CEC1" s="5"/>
      <c r="CED1" s="5"/>
      <c r="CEE1" s="5"/>
      <c r="CEG1" s="5"/>
      <c r="CEH1" s="5"/>
      <c r="CEI1" s="5"/>
      <c r="CEK1" s="5"/>
      <c r="CEL1" s="5"/>
      <c r="CEM1" s="5"/>
      <c r="CEO1" s="5"/>
      <c r="CEP1" s="5"/>
      <c r="CEQ1" s="5"/>
      <c r="CES1" s="5"/>
      <c r="CET1" s="5"/>
      <c r="CEU1" s="5"/>
      <c r="CEW1" s="5"/>
      <c r="CEX1" s="5"/>
      <c r="CEY1" s="5"/>
      <c r="CFA1" s="5"/>
      <c r="CFB1" s="5"/>
      <c r="CFC1" s="5"/>
      <c r="CFE1" s="5"/>
      <c r="CFF1" s="5"/>
      <c r="CFG1" s="5"/>
      <c r="CFI1" s="5"/>
      <c r="CFJ1" s="5"/>
      <c r="CFK1" s="5"/>
      <c r="CFM1" s="5"/>
      <c r="CFN1" s="5"/>
      <c r="CFO1" s="5"/>
      <c r="CFQ1" s="5"/>
      <c r="CFR1" s="5"/>
      <c r="CFS1" s="5"/>
      <c r="CFU1" s="5"/>
      <c r="CFV1" s="5"/>
      <c r="CFW1" s="5"/>
      <c r="CFY1" s="5"/>
      <c r="CFZ1" s="5"/>
      <c r="CGA1" s="5"/>
      <c r="CGC1" s="5"/>
      <c r="CGD1" s="5"/>
      <c r="CGE1" s="5"/>
      <c r="CGG1" s="5"/>
      <c r="CGH1" s="5"/>
      <c r="CGI1" s="5"/>
      <c r="CGK1" s="5"/>
      <c r="CGL1" s="5"/>
      <c r="CGM1" s="5"/>
      <c r="CGO1" s="5"/>
      <c r="CGP1" s="5"/>
      <c r="CGQ1" s="5"/>
      <c r="CGS1" s="5"/>
      <c r="CGT1" s="5"/>
      <c r="CGU1" s="5"/>
      <c r="CGW1" s="5"/>
      <c r="CGX1" s="5"/>
      <c r="CGY1" s="5"/>
      <c r="CHA1" s="5"/>
      <c r="CHB1" s="5"/>
      <c r="CHC1" s="5"/>
      <c r="CHE1" s="5"/>
      <c r="CHF1" s="5"/>
      <c r="CHG1" s="5"/>
      <c r="CHI1" s="5"/>
      <c r="CHJ1" s="5"/>
      <c r="CHK1" s="5"/>
      <c r="CHM1" s="5"/>
      <c r="CHN1" s="5"/>
      <c r="CHO1" s="5"/>
      <c r="CHQ1" s="5"/>
      <c r="CHR1" s="5"/>
      <c r="CHS1" s="5"/>
      <c r="CHU1" s="5"/>
      <c r="CHV1" s="5"/>
      <c r="CHW1" s="5"/>
      <c r="CHY1" s="5"/>
      <c r="CHZ1" s="5"/>
      <c r="CIA1" s="5"/>
      <c r="CIC1" s="5"/>
      <c r="CID1" s="5"/>
      <c r="CIE1" s="5"/>
      <c r="CIG1" s="5"/>
      <c r="CIH1" s="5"/>
      <c r="CII1" s="5"/>
      <c r="CIK1" s="5"/>
      <c r="CIL1" s="5"/>
      <c r="CIM1" s="5"/>
      <c r="CIO1" s="5"/>
      <c r="CIP1" s="5"/>
      <c r="CIQ1" s="5"/>
      <c r="CIS1" s="5"/>
      <c r="CIT1" s="5"/>
      <c r="CIU1" s="5"/>
      <c r="CIW1" s="5"/>
      <c r="CIX1" s="5"/>
      <c r="CIY1" s="5"/>
      <c r="CJA1" s="5"/>
      <c r="CJB1" s="5"/>
      <c r="CJC1" s="5"/>
      <c r="CJE1" s="5"/>
      <c r="CJF1" s="5"/>
      <c r="CJG1" s="5"/>
      <c r="CJI1" s="5"/>
      <c r="CJJ1" s="5"/>
      <c r="CJK1" s="5"/>
      <c r="CJM1" s="5"/>
      <c r="CJN1" s="5"/>
      <c r="CJO1" s="5"/>
      <c r="CJQ1" s="5"/>
      <c r="CJR1" s="5"/>
      <c r="CJS1" s="5"/>
      <c r="CJU1" s="5"/>
      <c r="CJV1" s="5"/>
      <c r="CJW1" s="5"/>
      <c r="CJY1" s="5"/>
      <c r="CJZ1" s="5"/>
      <c r="CKA1" s="5"/>
      <c r="CKC1" s="5"/>
      <c r="CKD1" s="5"/>
      <c r="CKE1" s="5"/>
      <c r="CKG1" s="5"/>
      <c r="CKH1" s="5"/>
      <c r="CKI1" s="5"/>
      <c r="CKK1" s="5"/>
      <c r="CKL1" s="5"/>
      <c r="CKM1" s="5"/>
      <c r="CKO1" s="5"/>
      <c r="CKP1" s="5"/>
      <c r="CKQ1" s="5"/>
      <c r="CKS1" s="5"/>
      <c r="CKT1" s="5"/>
      <c r="CKU1" s="5"/>
      <c r="CKW1" s="5"/>
      <c r="CKX1" s="5"/>
      <c r="CKY1" s="5"/>
      <c r="CLA1" s="5"/>
      <c r="CLB1" s="5"/>
      <c r="CLC1" s="5"/>
      <c r="CLE1" s="5"/>
      <c r="CLF1" s="5"/>
      <c r="CLG1" s="5"/>
      <c r="CLI1" s="5"/>
      <c r="CLJ1" s="5"/>
      <c r="CLK1" s="5"/>
      <c r="CLM1" s="5"/>
      <c r="CLN1" s="5"/>
      <c r="CLO1" s="5"/>
      <c r="CLQ1" s="5"/>
      <c r="CLR1" s="5"/>
      <c r="CLS1" s="5"/>
      <c r="CLU1" s="5"/>
      <c r="CLV1" s="5"/>
      <c r="CLW1" s="5"/>
      <c r="CLY1" s="5"/>
      <c r="CLZ1" s="5"/>
      <c r="CMA1" s="5"/>
      <c r="CMC1" s="5"/>
      <c r="CMD1" s="5"/>
      <c r="CME1" s="5"/>
      <c r="CMG1" s="5"/>
      <c r="CMH1" s="5"/>
      <c r="CMI1" s="5"/>
      <c r="CMK1" s="5"/>
      <c r="CML1" s="5"/>
      <c r="CMM1" s="5"/>
      <c r="CMO1" s="5"/>
      <c r="CMP1" s="5"/>
      <c r="CMQ1" s="5"/>
      <c r="CMS1" s="5"/>
      <c r="CMT1" s="5"/>
      <c r="CMU1" s="5"/>
      <c r="CMW1" s="5"/>
      <c r="CMX1" s="5"/>
      <c r="CMY1" s="5"/>
      <c r="CNA1" s="5"/>
      <c r="CNB1" s="5"/>
      <c r="CNC1" s="5"/>
      <c r="CNE1" s="5"/>
      <c r="CNF1" s="5"/>
      <c r="CNG1" s="5"/>
      <c r="CNI1" s="5"/>
      <c r="CNJ1" s="5"/>
      <c r="CNK1" s="5"/>
      <c r="CNM1" s="5"/>
      <c r="CNN1" s="5"/>
      <c r="CNO1" s="5"/>
      <c r="CNQ1" s="5"/>
      <c r="CNR1" s="5"/>
      <c r="CNS1" s="5"/>
      <c r="CNU1" s="5"/>
      <c r="CNV1" s="5"/>
      <c r="CNW1" s="5"/>
      <c r="CNY1" s="5"/>
      <c r="CNZ1" s="5"/>
      <c r="COA1" s="5"/>
      <c r="COC1" s="5"/>
      <c r="COD1" s="5"/>
      <c r="COE1" s="5"/>
      <c r="COG1" s="5"/>
      <c r="COH1" s="5"/>
      <c r="COI1" s="5"/>
      <c r="COK1" s="5"/>
      <c r="COL1" s="5"/>
      <c r="COM1" s="5"/>
      <c r="COO1" s="5"/>
      <c r="COP1" s="5"/>
      <c r="COQ1" s="5"/>
      <c r="COS1" s="5"/>
      <c r="COT1" s="5"/>
      <c r="COU1" s="5"/>
      <c r="COW1" s="5"/>
      <c r="COX1" s="5"/>
      <c r="COY1" s="5"/>
      <c r="CPA1" s="5"/>
      <c r="CPB1" s="5"/>
      <c r="CPC1" s="5"/>
      <c r="CPE1" s="5"/>
      <c r="CPF1" s="5"/>
      <c r="CPG1" s="5"/>
      <c r="CPI1" s="5"/>
      <c r="CPJ1" s="5"/>
      <c r="CPK1" s="5"/>
      <c r="CPM1" s="5"/>
      <c r="CPN1" s="5"/>
      <c r="CPO1" s="5"/>
      <c r="CPQ1" s="5"/>
      <c r="CPR1" s="5"/>
      <c r="CPS1" s="5"/>
      <c r="CPU1" s="5"/>
      <c r="CPV1" s="5"/>
      <c r="CPW1" s="5"/>
      <c r="CPY1" s="5"/>
      <c r="CPZ1" s="5"/>
      <c r="CQA1" s="5"/>
      <c r="CQC1" s="5"/>
      <c r="CQD1" s="5"/>
      <c r="CQE1" s="5"/>
      <c r="CQG1" s="5"/>
      <c r="CQH1" s="5"/>
      <c r="CQI1" s="5"/>
      <c r="CQK1" s="5"/>
      <c r="CQL1" s="5"/>
      <c r="CQM1" s="5"/>
      <c r="CQO1" s="5"/>
      <c r="CQP1" s="5"/>
      <c r="CQQ1" s="5"/>
      <c r="CQS1" s="5"/>
      <c r="CQT1" s="5"/>
      <c r="CQU1" s="5"/>
      <c r="CQW1" s="5"/>
      <c r="CQX1" s="5"/>
      <c r="CQY1" s="5"/>
      <c r="CRA1" s="5"/>
      <c r="CRB1" s="5"/>
      <c r="CRC1" s="5"/>
      <c r="CRE1" s="5"/>
      <c r="CRF1" s="5"/>
      <c r="CRG1" s="5"/>
      <c r="CRI1" s="5"/>
      <c r="CRJ1" s="5"/>
      <c r="CRK1" s="5"/>
      <c r="CRM1" s="5"/>
      <c r="CRN1" s="5"/>
      <c r="CRO1" s="5"/>
      <c r="CRQ1" s="5"/>
      <c r="CRR1" s="5"/>
      <c r="CRS1" s="5"/>
      <c r="CRU1" s="5"/>
      <c r="CRV1" s="5"/>
      <c r="CRW1" s="5"/>
      <c r="CRY1" s="5"/>
      <c r="CRZ1" s="5"/>
      <c r="CSA1" s="5"/>
      <c r="CSC1" s="5"/>
      <c r="CSD1" s="5"/>
      <c r="CSE1" s="5"/>
      <c r="CSG1" s="5"/>
      <c r="CSH1" s="5"/>
      <c r="CSI1" s="5"/>
      <c r="CSK1" s="5"/>
      <c r="CSL1" s="5"/>
      <c r="CSM1" s="5"/>
      <c r="CSO1" s="5"/>
      <c r="CSP1" s="5"/>
      <c r="CSQ1" s="5"/>
      <c r="CSS1" s="5"/>
      <c r="CST1" s="5"/>
      <c r="CSU1" s="5"/>
      <c r="CSW1" s="5"/>
      <c r="CSX1" s="5"/>
      <c r="CSY1" s="5"/>
      <c r="CTA1" s="5"/>
      <c r="CTB1" s="5"/>
      <c r="CTC1" s="5"/>
      <c r="CTE1" s="5"/>
      <c r="CTF1" s="5"/>
      <c r="CTG1" s="5"/>
      <c r="CTI1" s="5"/>
      <c r="CTJ1" s="5"/>
      <c r="CTK1" s="5"/>
      <c r="CTM1" s="5"/>
      <c r="CTN1" s="5"/>
      <c r="CTO1" s="5"/>
      <c r="CTQ1" s="5"/>
      <c r="CTR1" s="5"/>
      <c r="CTS1" s="5"/>
      <c r="CTU1" s="5"/>
      <c r="CTV1" s="5"/>
      <c r="CTW1" s="5"/>
      <c r="CTY1" s="5"/>
      <c r="CTZ1" s="5"/>
      <c r="CUA1" s="5"/>
      <c r="CUC1" s="5"/>
      <c r="CUD1" s="5"/>
      <c r="CUE1" s="5"/>
      <c r="CUG1" s="5"/>
      <c r="CUH1" s="5"/>
      <c r="CUI1" s="5"/>
      <c r="CUK1" s="5"/>
      <c r="CUL1" s="5"/>
      <c r="CUM1" s="5"/>
      <c r="CUO1" s="5"/>
      <c r="CUP1" s="5"/>
      <c r="CUQ1" s="5"/>
      <c r="CUS1" s="5"/>
      <c r="CUT1" s="5"/>
      <c r="CUU1" s="5"/>
      <c r="CUW1" s="5"/>
      <c r="CUX1" s="5"/>
      <c r="CUY1" s="5"/>
      <c r="CVA1" s="5"/>
      <c r="CVB1" s="5"/>
      <c r="CVC1" s="5"/>
      <c r="CVE1" s="5"/>
      <c r="CVF1" s="5"/>
      <c r="CVG1" s="5"/>
      <c r="CVI1" s="5"/>
      <c r="CVJ1" s="5"/>
      <c r="CVK1" s="5"/>
      <c r="CVM1" s="5"/>
      <c r="CVN1" s="5"/>
      <c r="CVO1" s="5"/>
      <c r="CVQ1" s="5"/>
      <c r="CVR1" s="5"/>
      <c r="CVS1" s="5"/>
      <c r="CVU1" s="5"/>
      <c r="CVV1" s="5"/>
      <c r="CVW1" s="5"/>
      <c r="CVY1" s="5"/>
      <c r="CVZ1" s="5"/>
      <c r="CWA1" s="5"/>
      <c r="CWC1" s="5"/>
      <c r="CWD1" s="5"/>
      <c r="CWE1" s="5"/>
      <c r="CWG1" s="5"/>
      <c r="CWH1" s="5"/>
      <c r="CWI1" s="5"/>
      <c r="CWK1" s="5"/>
      <c r="CWL1" s="5"/>
      <c r="CWM1" s="5"/>
      <c r="CWO1" s="5"/>
      <c r="CWP1" s="5"/>
      <c r="CWQ1" s="5"/>
      <c r="CWS1" s="5"/>
      <c r="CWT1" s="5"/>
      <c r="CWU1" s="5"/>
      <c r="CWW1" s="5"/>
      <c r="CWX1" s="5"/>
      <c r="CWY1" s="5"/>
      <c r="CXA1" s="5"/>
      <c r="CXB1" s="5"/>
      <c r="CXC1" s="5"/>
      <c r="CXE1" s="5"/>
      <c r="CXF1" s="5"/>
      <c r="CXG1" s="5"/>
      <c r="CXI1" s="5"/>
      <c r="CXJ1" s="5"/>
      <c r="CXK1" s="5"/>
      <c r="CXM1" s="5"/>
      <c r="CXN1" s="5"/>
      <c r="CXO1" s="5"/>
      <c r="CXQ1" s="5"/>
      <c r="CXR1" s="5"/>
      <c r="CXS1" s="5"/>
      <c r="CXU1" s="5"/>
      <c r="CXV1" s="5"/>
      <c r="CXW1" s="5"/>
      <c r="CXY1" s="5"/>
      <c r="CXZ1" s="5"/>
      <c r="CYA1" s="5"/>
      <c r="CYC1" s="5"/>
      <c r="CYD1" s="5"/>
      <c r="CYE1" s="5"/>
      <c r="CYG1" s="5"/>
      <c r="CYH1" s="5"/>
      <c r="CYI1" s="5"/>
      <c r="CYK1" s="5"/>
      <c r="CYL1" s="5"/>
      <c r="CYM1" s="5"/>
      <c r="CYO1" s="5"/>
      <c r="CYP1" s="5"/>
      <c r="CYQ1" s="5"/>
      <c r="CYS1" s="5"/>
      <c r="CYT1" s="5"/>
      <c r="CYU1" s="5"/>
      <c r="CYW1" s="5"/>
      <c r="CYX1" s="5"/>
      <c r="CYY1" s="5"/>
      <c r="CZA1" s="5"/>
      <c r="CZB1" s="5"/>
      <c r="CZC1" s="5"/>
      <c r="CZE1" s="5"/>
      <c r="CZF1" s="5"/>
      <c r="CZG1" s="5"/>
      <c r="CZI1" s="5"/>
      <c r="CZJ1" s="5"/>
      <c r="CZK1" s="5"/>
      <c r="CZM1" s="5"/>
      <c r="CZN1" s="5"/>
      <c r="CZO1" s="5"/>
      <c r="CZQ1" s="5"/>
      <c r="CZR1" s="5"/>
      <c r="CZS1" s="5"/>
      <c r="CZU1" s="5"/>
      <c r="CZV1" s="5"/>
      <c r="CZW1" s="5"/>
      <c r="CZY1" s="5"/>
      <c r="CZZ1" s="5"/>
      <c r="DAA1" s="5"/>
      <c r="DAC1" s="5"/>
      <c r="DAD1" s="5"/>
      <c r="DAE1" s="5"/>
      <c r="DAG1" s="5"/>
      <c r="DAH1" s="5"/>
      <c r="DAI1" s="5"/>
      <c r="DAK1" s="5"/>
      <c r="DAL1" s="5"/>
      <c r="DAM1" s="5"/>
      <c r="DAO1" s="5"/>
      <c r="DAP1" s="5"/>
      <c r="DAQ1" s="5"/>
      <c r="DAS1" s="5"/>
      <c r="DAT1" s="5"/>
      <c r="DAU1" s="5"/>
      <c r="DAW1" s="5"/>
      <c r="DAX1" s="5"/>
      <c r="DAY1" s="5"/>
      <c r="DBA1" s="5"/>
      <c r="DBB1" s="5"/>
      <c r="DBC1" s="5"/>
      <c r="DBE1" s="5"/>
      <c r="DBF1" s="5"/>
      <c r="DBG1" s="5"/>
      <c r="DBI1" s="5"/>
      <c r="DBJ1" s="5"/>
      <c r="DBK1" s="5"/>
      <c r="DBM1" s="5"/>
      <c r="DBN1" s="5"/>
      <c r="DBO1" s="5"/>
      <c r="DBQ1" s="5"/>
      <c r="DBR1" s="5"/>
      <c r="DBS1" s="5"/>
      <c r="DBU1" s="5"/>
      <c r="DBV1" s="5"/>
      <c r="DBW1" s="5"/>
      <c r="DBY1" s="5"/>
      <c r="DBZ1" s="5"/>
      <c r="DCA1" s="5"/>
      <c r="DCC1" s="5"/>
      <c r="DCD1" s="5"/>
      <c r="DCE1" s="5"/>
      <c r="DCG1" s="5"/>
      <c r="DCH1" s="5"/>
      <c r="DCI1" s="5"/>
      <c r="DCK1" s="5"/>
      <c r="DCL1" s="5"/>
      <c r="DCM1" s="5"/>
      <c r="DCO1" s="5"/>
      <c r="DCP1" s="5"/>
      <c r="DCQ1" s="5"/>
      <c r="DCS1" s="5"/>
      <c r="DCT1" s="5"/>
      <c r="DCU1" s="5"/>
      <c r="DCW1" s="5"/>
      <c r="DCX1" s="5"/>
      <c r="DCY1" s="5"/>
      <c r="DDA1" s="5"/>
      <c r="DDB1" s="5"/>
      <c r="DDC1" s="5"/>
      <c r="DDE1" s="5"/>
      <c r="DDF1" s="5"/>
      <c r="DDG1" s="5"/>
      <c r="DDI1" s="5"/>
      <c r="DDJ1" s="5"/>
      <c r="DDK1" s="5"/>
      <c r="DDM1" s="5"/>
      <c r="DDN1" s="5"/>
      <c r="DDO1" s="5"/>
      <c r="DDQ1" s="5"/>
      <c r="DDR1" s="5"/>
      <c r="DDS1" s="5"/>
      <c r="DDU1" s="5"/>
      <c r="DDV1" s="5"/>
      <c r="DDW1" s="5"/>
      <c r="DDY1" s="5"/>
      <c r="DDZ1" s="5"/>
      <c r="DEA1" s="5"/>
      <c r="DEC1" s="5"/>
      <c r="DED1" s="5"/>
      <c r="DEE1" s="5"/>
      <c r="DEG1" s="5"/>
      <c r="DEH1" s="5"/>
      <c r="DEI1" s="5"/>
      <c r="DEK1" s="5"/>
      <c r="DEL1" s="5"/>
      <c r="DEM1" s="5"/>
      <c r="DEO1" s="5"/>
      <c r="DEP1" s="5"/>
      <c r="DEQ1" s="5"/>
      <c r="DES1" s="5"/>
      <c r="DET1" s="5"/>
      <c r="DEU1" s="5"/>
      <c r="DEW1" s="5"/>
      <c r="DEX1" s="5"/>
      <c r="DEY1" s="5"/>
      <c r="DFA1" s="5"/>
      <c r="DFB1" s="5"/>
      <c r="DFC1" s="5"/>
      <c r="DFE1" s="5"/>
      <c r="DFF1" s="5"/>
      <c r="DFG1" s="5"/>
      <c r="DFI1" s="5"/>
      <c r="DFJ1" s="5"/>
      <c r="DFK1" s="5"/>
      <c r="DFM1" s="5"/>
      <c r="DFN1" s="5"/>
      <c r="DFO1" s="5"/>
      <c r="DFQ1" s="5"/>
      <c r="DFR1" s="5"/>
      <c r="DFS1" s="5"/>
      <c r="DFU1" s="5"/>
      <c r="DFV1" s="5"/>
      <c r="DFW1" s="5"/>
      <c r="DFY1" s="5"/>
      <c r="DFZ1" s="5"/>
      <c r="DGA1" s="5"/>
      <c r="DGC1" s="5"/>
      <c r="DGD1" s="5"/>
      <c r="DGE1" s="5"/>
      <c r="DGG1" s="5"/>
      <c r="DGH1" s="5"/>
      <c r="DGI1" s="5"/>
      <c r="DGK1" s="5"/>
      <c r="DGL1" s="5"/>
      <c r="DGM1" s="5"/>
      <c r="DGO1" s="5"/>
      <c r="DGP1" s="5"/>
      <c r="DGQ1" s="5"/>
      <c r="DGS1" s="5"/>
      <c r="DGT1" s="5"/>
      <c r="DGU1" s="5"/>
      <c r="DGW1" s="5"/>
      <c r="DGX1" s="5"/>
      <c r="DGY1" s="5"/>
      <c r="DHA1" s="5"/>
      <c r="DHB1" s="5"/>
      <c r="DHC1" s="5"/>
      <c r="DHE1" s="5"/>
      <c r="DHF1" s="5"/>
      <c r="DHG1" s="5"/>
      <c r="DHI1" s="5"/>
      <c r="DHJ1" s="5"/>
      <c r="DHK1" s="5"/>
      <c r="DHM1" s="5"/>
      <c r="DHN1" s="5"/>
      <c r="DHO1" s="5"/>
      <c r="DHQ1" s="5"/>
      <c r="DHR1" s="5"/>
      <c r="DHS1" s="5"/>
      <c r="DHU1" s="5"/>
      <c r="DHV1" s="5"/>
      <c r="DHW1" s="5"/>
      <c r="DHY1" s="5"/>
      <c r="DHZ1" s="5"/>
      <c r="DIA1" s="5"/>
      <c r="DIC1" s="5"/>
      <c r="DID1" s="5"/>
      <c r="DIE1" s="5"/>
      <c r="DIG1" s="5"/>
      <c r="DIH1" s="5"/>
      <c r="DII1" s="5"/>
      <c r="DIK1" s="5"/>
      <c r="DIL1" s="5"/>
      <c r="DIM1" s="5"/>
      <c r="DIO1" s="5"/>
      <c r="DIP1" s="5"/>
      <c r="DIQ1" s="5"/>
      <c r="DIS1" s="5"/>
      <c r="DIT1" s="5"/>
      <c r="DIU1" s="5"/>
      <c r="DIW1" s="5"/>
      <c r="DIX1" s="5"/>
      <c r="DIY1" s="5"/>
      <c r="DJA1" s="5"/>
      <c r="DJB1" s="5"/>
      <c r="DJC1" s="5"/>
      <c r="DJE1" s="5"/>
      <c r="DJF1" s="5"/>
      <c r="DJG1" s="5"/>
      <c r="DJI1" s="5"/>
      <c r="DJJ1" s="5"/>
      <c r="DJK1" s="5"/>
      <c r="DJM1" s="5"/>
      <c r="DJN1" s="5"/>
      <c r="DJO1" s="5"/>
      <c r="DJQ1" s="5"/>
      <c r="DJR1" s="5"/>
      <c r="DJS1" s="5"/>
      <c r="DJU1" s="5"/>
      <c r="DJV1" s="5"/>
      <c r="DJW1" s="5"/>
      <c r="DJY1" s="5"/>
      <c r="DJZ1" s="5"/>
      <c r="DKA1" s="5"/>
      <c r="DKC1" s="5"/>
      <c r="DKD1" s="5"/>
      <c r="DKE1" s="5"/>
      <c r="DKG1" s="5"/>
      <c r="DKH1" s="5"/>
      <c r="DKI1" s="5"/>
      <c r="DKK1" s="5"/>
      <c r="DKL1" s="5"/>
      <c r="DKM1" s="5"/>
      <c r="DKO1" s="5"/>
      <c r="DKP1" s="5"/>
      <c r="DKQ1" s="5"/>
      <c r="DKS1" s="5"/>
      <c r="DKT1" s="5"/>
      <c r="DKU1" s="5"/>
      <c r="DKW1" s="5"/>
      <c r="DKX1" s="5"/>
      <c r="DKY1" s="5"/>
      <c r="DLA1" s="5"/>
      <c r="DLB1" s="5"/>
      <c r="DLC1" s="5"/>
      <c r="DLE1" s="5"/>
      <c r="DLF1" s="5"/>
      <c r="DLG1" s="5"/>
      <c r="DLI1" s="5"/>
      <c r="DLJ1" s="5"/>
      <c r="DLK1" s="5"/>
      <c r="DLM1" s="5"/>
      <c r="DLN1" s="5"/>
      <c r="DLO1" s="5"/>
      <c r="DLQ1" s="5"/>
      <c r="DLR1" s="5"/>
      <c r="DLS1" s="5"/>
      <c r="DLU1" s="5"/>
      <c r="DLV1" s="5"/>
      <c r="DLW1" s="5"/>
      <c r="DLY1" s="5"/>
      <c r="DLZ1" s="5"/>
      <c r="DMA1" s="5"/>
      <c r="DMC1" s="5"/>
      <c r="DMD1" s="5"/>
      <c r="DME1" s="5"/>
      <c r="DMG1" s="5"/>
      <c r="DMH1" s="5"/>
      <c r="DMI1" s="5"/>
      <c r="DMK1" s="5"/>
      <c r="DML1" s="5"/>
      <c r="DMM1" s="5"/>
      <c r="DMO1" s="5"/>
      <c r="DMP1" s="5"/>
      <c r="DMQ1" s="5"/>
      <c r="DMS1" s="5"/>
      <c r="DMT1" s="5"/>
      <c r="DMU1" s="5"/>
      <c r="DMW1" s="5"/>
      <c r="DMX1" s="5"/>
      <c r="DMY1" s="5"/>
      <c r="DNA1" s="5"/>
      <c r="DNB1" s="5"/>
      <c r="DNC1" s="5"/>
      <c r="DNE1" s="5"/>
      <c r="DNF1" s="5"/>
      <c r="DNG1" s="5"/>
      <c r="DNI1" s="5"/>
      <c r="DNJ1" s="5"/>
      <c r="DNK1" s="5"/>
      <c r="DNM1" s="5"/>
      <c r="DNN1" s="5"/>
      <c r="DNO1" s="5"/>
      <c r="DNQ1" s="5"/>
      <c r="DNR1" s="5"/>
      <c r="DNS1" s="5"/>
      <c r="DNU1" s="5"/>
      <c r="DNV1" s="5"/>
      <c r="DNW1" s="5"/>
      <c r="DNY1" s="5"/>
      <c r="DNZ1" s="5"/>
      <c r="DOA1" s="5"/>
      <c r="DOC1" s="5"/>
      <c r="DOD1" s="5"/>
      <c r="DOE1" s="5"/>
      <c r="DOG1" s="5"/>
      <c r="DOH1" s="5"/>
      <c r="DOI1" s="5"/>
      <c r="DOK1" s="5"/>
      <c r="DOL1" s="5"/>
      <c r="DOM1" s="5"/>
      <c r="DOO1" s="5"/>
      <c r="DOP1" s="5"/>
      <c r="DOQ1" s="5"/>
      <c r="DOS1" s="5"/>
      <c r="DOT1" s="5"/>
      <c r="DOU1" s="5"/>
      <c r="DOW1" s="5"/>
      <c r="DOX1" s="5"/>
      <c r="DOY1" s="5"/>
      <c r="DPA1" s="5"/>
      <c r="DPB1" s="5"/>
      <c r="DPC1" s="5"/>
      <c r="DPE1" s="5"/>
      <c r="DPF1" s="5"/>
      <c r="DPG1" s="5"/>
      <c r="DPI1" s="5"/>
      <c r="DPJ1" s="5"/>
      <c r="DPK1" s="5"/>
      <c r="DPM1" s="5"/>
      <c r="DPN1" s="5"/>
      <c r="DPO1" s="5"/>
      <c r="DPQ1" s="5"/>
      <c r="DPR1" s="5"/>
      <c r="DPS1" s="5"/>
      <c r="DPU1" s="5"/>
      <c r="DPV1" s="5"/>
      <c r="DPW1" s="5"/>
      <c r="DPY1" s="5"/>
      <c r="DPZ1" s="5"/>
      <c r="DQA1" s="5"/>
      <c r="DQC1" s="5"/>
      <c r="DQD1" s="5"/>
      <c r="DQE1" s="5"/>
      <c r="DQG1" s="5"/>
      <c r="DQH1" s="5"/>
      <c r="DQI1" s="5"/>
      <c r="DQK1" s="5"/>
      <c r="DQL1" s="5"/>
      <c r="DQM1" s="5"/>
      <c r="DQO1" s="5"/>
      <c r="DQP1" s="5"/>
      <c r="DQQ1" s="5"/>
      <c r="DQS1" s="5"/>
      <c r="DQT1" s="5"/>
      <c r="DQU1" s="5"/>
      <c r="DQW1" s="5"/>
      <c r="DQX1" s="5"/>
      <c r="DQY1" s="5"/>
      <c r="DRA1" s="5"/>
      <c r="DRB1" s="5"/>
      <c r="DRC1" s="5"/>
      <c r="DRE1" s="5"/>
      <c r="DRF1" s="5"/>
      <c r="DRG1" s="5"/>
      <c r="DRI1" s="5"/>
      <c r="DRJ1" s="5"/>
      <c r="DRK1" s="5"/>
      <c r="DRM1" s="5"/>
      <c r="DRN1" s="5"/>
      <c r="DRO1" s="5"/>
      <c r="DRQ1" s="5"/>
      <c r="DRR1" s="5"/>
      <c r="DRS1" s="5"/>
      <c r="DRU1" s="5"/>
      <c r="DRV1" s="5"/>
      <c r="DRW1" s="5"/>
      <c r="DRY1" s="5"/>
      <c r="DRZ1" s="5"/>
      <c r="DSA1" s="5"/>
      <c r="DSC1" s="5"/>
      <c r="DSD1" s="5"/>
      <c r="DSE1" s="5"/>
      <c r="DSG1" s="5"/>
      <c r="DSH1" s="5"/>
      <c r="DSI1" s="5"/>
      <c r="DSK1" s="5"/>
      <c r="DSL1" s="5"/>
      <c r="DSM1" s="5"/>
      <c r="DSO1" s="5"/>
      <c r="DSP1" s="5"/>
      <c r="DSQ1" s="5"/>
      <c r="DSS1" s="5"/>
      <c r="DST1" s="5"/>
      <c r="DSU1" s="5"/>
      <c r="DSW1" s="5"/>
      <c r="DSX1" s="5"/>
      <c r="DSY1" s="5"/>
      <c r="DTA1" s="5"/>
      <c r="DTB1" s="5"/>
      <c r="DTC1" s="5"/>
      <c r="DTE1" s="5"/>
      <c r="DTF1" s="5"/>
      <c r="DTG1" s="5"/>
      <c r="DTI1" s="5"/>
      <c r="DTJ1" s="5"/>
      <c r="DTK1" s="5"/>
      <c r="DTM1" s="5"/>
      <c r="DTN1" s="5"/>
      <c r="DTO1" s="5"/>
      <c r="DTQ1" s="5"/>
      <c r="DTR1" s="5"/>
      <c r="DTS1" s="5"/>
      <c r="DTU1" s="5"/>
      <c r="DTV1" s="5"/>
      <c r="DTW1" s="5"/>
      <c r="DTY1" s="5"/>
      <c r="DTZ1" s="5"/>
      <c r="DUA1" s="5"/>
      <c r="DUC1" s="5"/>
      <c r="DUD1" s="5"/>
      <c r="DUE1" s="5"/>
      <c r="DUG1" s="5"/>
      <c r="DUH1" s="5"/>
      <c r="DUI1" s="5"/>
      <c r="DUK1" s="5"/>
      <c r="DUL1" s="5"/>
      <c r="DUM1" s="5"/>
      <c r="DUO1" s="5"/>
      <c r="DUP1" s="5"/>
      <c r="DUQ1" s="5"/>
      <c r="DUS1" s="5"/>
      <c r="DUT1" s="5"/>
      <c r="DUU1" s="5"/>
      <c r="DUW1" s="5"/>
      <c r="DUX1" s="5"/>
      <c r="DUY1" s="5"/>
      <c r="DVA1" s="5"/>
      <c r="DVB1" s="5"/>
      <c r="DVC1" s="5"/>
      <c r="DVE1" s="5"/>
      <c r="DVF1" s="5"/>
      <c r="DVG1" s="5"/>
      <c r="DVI1" s="5"/>
      <c r="DVJ1" s="5"/>
      <c r="DVK1" s="5"/>
      <c r="DVM1" s="5"/>
      <c r="DVN1" s="5"/>
      <c r="DVO1" s="5"/>
      <c r="DVQ1" s="5"/>
      <c r="DVR1" s="5"/>
      <c r="DVS1" s="5"/>
      <c r="DVU1" s="5"/>
      <c r="DVV1" s="5"/>
      <c r="DVW1" s="5"/>
      <c r="DVY1" s="5"/>
      <c r="DVZ1" s="5"/>
      <c r="DWA1" s="5"/>
      <c r="DWC1" s="5"/>
      <c r="DWD1" s="5"/>
      <c r="DWE1" s="5"/>
      <c r="DWG1" s="5"/>
      <c r="DWH1" s="5"/>
      <c r="DWI1" s="5"/>
      <c r="DWK1" s="5"/>
      <c r="DWL1" s="5"/>
      <c r="DWM1" s="5"/>
      <c r="DWO1" s="5"/>
      <c r="DWP1" s="5"/>
      <c r="DWQ1" s="5"/>
      <c r="DWS1" s="5"/>
      <c r="DWT1" s="5"/>
      <c r="DWU1" s="5"/>
      <c r="DWW1" s="5"/>
      <c r="DWX1" s="5"/>
      <c r="DWY1" s="5"/>
      <c r="DXA1" s="5"/>
      <c r="DXB1" s="5"/>
      <c r="DXC1" s="5"/>
      <c r="DXE1" s="5"/>
      <c r="DXF1" s="5"/>
      <c r="DXG1" s="5"/>
      <c r="DXI1" s="5"/>
      <c r="DXJ1" s="5"/>
      <c r="DXK1" s="5"/>
      <c r="DXM1" s="5"/>
      <c r="DXN1" s="5"/>
      <c r="DXO1" s="5"/>
      <c r="DXQ1" s="5"/>
      <c r="DXR1" s="5"/>
      <c r="DXS1" s="5"/>
      <c r="DXU1" s="5"/>
      <c r="DXV1" s="5"/>
      <c r="DXW1" s="5"/>
      <c r="DXY1" s="5"/>
      <c r="DXZ1" s="5"/>
      <c r="DYA1" s="5"/>
      <c r="DYC1" s="5"/>
      <c r="DYD1" s="5"/>
      <c r="DYE1" s="5"/>
      <c r="DYG1" s="5"/>
      <c r="DYH1" s="5"/>
      <c r="DYI1" s="5"/>
      <c r="DYK1" s="5"/>
      <c r="DYL1" s="5"/>
      <c r="DYM1" s="5"/>
      <c r="DYO1" s="5"/>
      <c r="DYP1" s="5"/>
      <c r="DYQ1" s="5"/>
      <c r="DYS1" s="5"/>
      <c r="DYT1" s="5"/>
      <c r="DYU1" s="5"/>
      <c r="DYW1" s="5"/>
      <c r="DYX1" s="5"/>
      <c r="DYY1" s="5"/>
      <c r="DZA1" s="5"/>
      <c r="DZB1" s="5"/>
      <c r="DZC1" s="5"/>
      <c r="DZE1" s="5"/>
      <c r="DZF1" s="5"/>
      <c r="DZG1" s="5"/>
      <c r="DZI1" s="5"/>
      <c r="DZJ1" s="5"/>
      <c r="DZK1" s="5"/>
      <c r="DZM1" s="5"/>
      <c r="DZN1" s="5"/>
      <c r="DZO1" s="5"/>
      <c r="DZQ1" s="5"/>
      <c r="DZR1" s="5"/>
      <c r="DZS1" s="5"/>
      <c r="DZU1" s="5"/>
      <c r="DZV1" s="5"/>
      <c r="DZW1" s="5"/>
      <c r="DZY1" s="5"/>
      <c r="DZZ1" s="5"/>
      <c r="EAA1" s="5"/>
      <c r="EAC1" s="5"/>
      <c r="EAD1" s="5"/>
      <c r="EAE1" s="5"/>
      <c r="EAG1" s="5"/>
      <c r="EAH1" s="5"/>
      <c r="EAI1" s="5"/>
      <c r="EAK1" s="5"/>
      <c r="EAL1" s="5"/>
      <c r="EAM1" s="5"/>
      <c r="EAO1" s="5"/>
      <c r="EAP1" s="5"/>
      <c r="EAQ1" s="5"/>
      <c r="EAS1" s="5"/>
      <c r="EAT1" s="5"/>
      <c r="EAU1" s="5"/>
      <c r="EAW1" s="5"/>
      <c r="EAX1" s="5"/>
      <c r="EAY1" s="5"/>
      <c r="EBA1" s="5"/>
      <c r="EBB1" s="5"/>
      <c r="EBC1" s="5"/>
      <c r="EBE1" s="5"/>
      <c r="EBF1" s="5"/>
      <c r="EBG1" s="5"/>
      <c r="EBI1" s="5"/>
      <c r="EBJ1" s="5"/>
      <c r="EBK1" s="5"/>
      <c r="EBM1" s="5"/>
      <c r="EBN1" s="5"/>
      <c r="EBO1" s="5"/>
      <c r="EBQ1" s="5"/>
      <c r="EBR1" s="5"/>
      <c r="EBS1" s="5"/>
      <c r="EBU1" s="5"/>
      <c r="EBV1" s="5"/>
      <c r="EBW1" s="5"/>
      <c r="EBY1" s="5"/>
      <c r="EBZ1" s="5"/>
      <c r="ECA1" s="5"/>
      <c r="ECC1" s="5"/>
      <c r="ECD1" s="5"/>
      <c r="ECE1" s="5"/>
      <c r="ECG1" s="5"/>
      <c r="ECH1" s="5"/>
      <c r="ECI1" s="5"/>
      <c r="ECK1" s="5"/>
      <c r="ECL1" s="5"/>
      <c r="ECM1" s="5"/>
      <c r="ECO1" s="5"/>
      <c r="ECP1" s="5"/>
      <c r="ECQ1" s="5"/>
      <c r="ECS1" s="5"/>
      <c r="ECT1" s="5"/>
      <c r="ECU1" s="5"/>
      <c r="ECW1" s="5"/>
      <c r="ECX1" s="5"/>
      <c r="ECY1" s="5"/>
      <c r="EDA1" s="5"/>
      <c r="EDB1" s="5"/>
      <c r="EDC1" s="5"/>
      <c r="EDE1" s="5"/>
      <c r="EDF1" s="5"/>
      <c r="EDG1" s="5"/>
      <c r="EDI1" s="5"/>
      <c r="EDJ1" s="5"/>
      <c r="EDK1" s="5"/>
      <c r="EDM1" s="5"/>
      <c r="EDN1" s="5"/>
      <c r="EDO1" s="5"/>
      <c r="EDQ1" s="5"/>
      <c r="EDR1" s="5"/>
      <c r="EDS1" s="5"/>
      <c r="EDU1" s="5"/>
      <c r="EDV1" s="5"/>
      <c r="EDW1" s="5"/>
      <c r="EDY1" s="5"/>
      <c r="EDZ1" s="5"/>
      <c r="EEA1" s="5"/>
      <c r="EEC1" s="5"/>
      <c r="EED1" s="5"/>
      <c r="EEE1" s="5"/>
      <c r="EEG1" s="5"/>
      <c r="EEH1" s="5"/>
      <c r="EEI1" s="5"/>
      <c r="EEK1" s="5"/>
      <c r="EEL1" s="5"/>
      <c r="EEM1" s="5"/>
      <c r="EEO1" s="5"/>
      <c r="EEP1" s="5"/>
      <c r="EEQ1" s="5"/>
      <c r="EES1" s="5"/>
      <c r="EET1" s="5"/>
      <c r="EEU1" s="5"/>
      <c r="EEW1" s="5"/>
      <c r="EEX1" s="5"/>
      <c r="EEY1" s="5"/>
      <c r="EFA1" s="5"/>
      <c r="EFB1" s="5"/>
      <c r="EFC1" s="5"/>
      <c r="EFE1" s="5"/>
      <c r="EFF1" s="5"/>
      <c r="EFG1" s="5"/>
      <c r="EFI1" s="5"/>
      <c r="EFJ1" s="5"/>
      <c r="EFK1" s="5"/>
      <c r="EFM1" s="5"/>
      <c r="EFN1" s="5"/>
      <c r="EFO1" s="5"/>
      <c r="EFQ1" s="5"/>
      <c r="EFR1" s="5"/>
      <c r="EFS1" s="5"/>
      <c r="EFU1" s="5"/>
      <c r="EFV1" s="5"/>
      <c r="EFW1" s="5"/>
      <c r="EFY1" s="5"/>
      <c r="EFZ1" s="5"/>
      <c r="EGA1" s="5"/>
      <c r="EGC1" s="5"/>
      <c r="EGD1" s="5"/>
      <c r="EGE1" s="5"/>
      <c r="EGG1" s="5"/>
      <c r="EGH1" s="5"/>
      <c r="EGI1" s="5"/>
      <c r="EGK1" s="5"/>
      <c r="EGL1" s="5"/>
      <c r="EGM1" s="5"/>
      <c r="EGO1" s="5"/>
      <c r="EGP1" s="5"/>
      <c r="EGQ1" s="5"/>
      <c r="EGS1" s="5"/>
      <c r="EGT1" s="5"/>
      <c r="EGU1" s="5"/>
      <c r="EGW1" s="5"/>
      <c r="EGX1" s="5"/>
      <c r="EGY1" s="5"/>
      <c r="EHA1" s="5"/>
      <c r="EHB1" s="5"/>
      <c r="EHC1" s="5"/>
      <c r="EHE1" s="5"/>
      <c r="EHF1" s="5"/>
      <c r="EHG1" s="5"/>
      <c r="EHI1" s="5"/>
      <c r="EHJ1" s="5"/>
      <c r="EHK1" s="5"/>
      <c r="EHM1" s="5"/>
      <c r="EHN1" s="5"/>
      <c r="EHO1" s="5"/>
      <c r="EHQ1" s="5"/>
      <c r="EHR1" s="5"/>
      <c r="EHS1" s="5"/>
      <c r="EHU1" s="5"/>
      <c r="EHV1" s="5"/>
      <c r="EHW1" s="5"/>
      <c r="EHY1" s="5"/>
      <c r="EHZ1" s="5"/>
      <c r="EIA1" s="5"/>
      <c r="EIC1" s="5"/>
      <c r="EID1" s="5"/>
      <c r="EIE1" s="5"/>
      <c r="EIG1" s="5"/>
      <c r="EIH1" s="5"/>
      <c r="EII1" s="5"/>
      <c r="EIK1" s="5"/>
      <c r="EIL1" s="5"/>
      <c r="EIM1" s="5"/>
      <c r="EIO1" s="5"/>
      <c r="EIP1" s="5"/>
      <c r="EIQ1" s="5"/>
      <c r="EIS1" s="5"/>
      <c r="EIT1" s="5"/>
      <c r="EIU1" s="5"/>
      <c r="EIW1" s="5"/>
      <c r="EIX1" s="5"/>
      <c r="EIY1" s="5"/>
      <c r="EJA1" s="5"/>
      <c r="EJB1" s="5"/>
      <c r="EJC1" s="5"/>
      <c r="EJE1" s="5"/>
      <c r="EJF1" s="5"/>
      <c r="EJG1" s="5"/>
      <c r="EJI1" s="5"/>
      <c r="EJJ1" s="5"/>
      <c r="EJK1" s="5"/>
      <c r="EJM1" s="5"/>
      <c r="EJN1" s="5"/>
      <c r="EJO1" s="5"/>
      <c r="EJQ1" s="5"/>
      <c r="EJR1" s="5"/>
      <c r="EJS1" s="5"/>
      <c r="EJU1" s="5"/>
      <c r="EJV1" s="5"/>
      <c r="EJW1" s="5"/>
      <c r="EJY1" s="5"/>
      <c r="EJZ1" s="5"/>
      <c r="EKA1" s="5"/>
      <c r="EKC1" s="5"/>
      <c r="EKD1" s="5"/>
      <c r="EKE1" s="5"/>
      <c r="EKG1" s="5"/>
      <c r="EKH1" s="5"/>
      <c r="EKI1" s="5"/>
      <c r="EKK1" s="5"/>
      <c r="EKL1" s="5"/>
      <c r="EKM1" s="5"/>
      <c r="EKO1" s="5"/>
      <c r="EKP1" s="5"/>
      <c r="EKQ1" s="5"/>
      <c r="EKS1" s="5"/>
      <c r="EKT1" s="5"/>
      <c r="EKU1" s="5"/>
      <c r="EKW1" s="5"/>
      <c r="EKX1" s="5"/>
      <c r="EKY1" s="5"/>
      <c r="ELA1" s="5"/>
      <c r="ELB1" s="5"/>
      <c r="ELC1" s="5"/>
      <c r="ELE1" s="5"/>
      <c r="ELF1" s="5"/>
      <c r="ELG1" s="5"/>
      <c r="ELI1" s="5"/>
      <c r="ELJ1" s="5"/>
      <c r="ELK1" s="5"/>
      <c r="ELM1" s="5"/>
      <c r="ELN1" s="5"/>
      <c r="ELO1" s="5"/>
      <c r="ELQ1" s="5"/>
      <c r="ELR1" s="5"/>
      <c r="ELS1" s="5"/>
      <c r="ELU1" s="5"/>
      <c r="ELV1" s="5"/>
      <c r="ELW1" s="5"/>
      <c r="ELY1" s="5"/>
      <c r="ELZ1" s="5"/>
      <c r="EMA1" s="5"/>
      <c r="EMC1" s="5"/>
      <c r="EMD1" s="5"/>
      <c r="EME1" s="5"/>
      <c r="EMG1" s="5"/>
      <c r="EMH1" s="5"/>
      <c r="EMI1" s="5"/>
      <c r="EMK1" s="5"/>
      <c r="EML1" s="5"/>
      <c r="EMM1" s="5"/>
      <c r="EMO1" s="5"/>
      <c r="EMP1" s="5"/>
      <c r="EMQ1" s="5"/>
      <c r="EMS1" s="5"/>
      <c r="EMT1" s="5"/>
      <c r="EMU1" s="5"/>
      <c r="EMW1" s="5"/>
      <c r="EMX1" s="5"/>
      <c r="EMY1" s="5"/>
      <c r="ENA1" s="5"/>
      <c r="ENB1" s="5"/>
      <c r="ENC1" s="5"/>
      <c r="ENE1" s="5"/>
      <c r="ENF1" s="5"/>
      <c r="ENG1" s="5"/>
      <c r="ENI1" s="5"/>
      <c r="ENJ1" s="5"/>
      <c r="ENK1" s="5"/>
      <c r="ENM1" s="5"/>
      <c r="ENN1" s="5"/>
      <c r="ENO1" s="5"/>
      <c r="ENQ1" s="5"/>
      <c r="ENR1" s="5"/>
      <c r="ENS1" s="5"/>
      <c r="ENU1" s="5"/>
      <c r="ENV1" s="5"/>
      <c r="ENW1" s="5"/>
      <c r="ENY1" s="5"/>
      <c r="ENZ1" s="5"/>
      <c r="EOA1" s="5"/>
      <c r="EOC1" s="5"/>
      <c r="EOD1" s="5"/>
      <c r="EOE1" s="5"/>
      <c r="EOG1" s="5"/>
      <c r="EOH1" s="5"/>
      <c r="EOI1" s="5"/>
      <c r="EOK1" s="5"/>
      <c r="EOL1" s="5"/>
      <c r="EOM1" s="5"/>
      <c r="EOO1" s="5"/>
      <c r="EOP1" s="5"/>
      <c r="EOQ1" s="5"/>
      <c r="EOS1" s="5"/>
      <c r="EOT1" s="5"/>
      <c r="EOU1" s="5"/>
      <c r="EOW1" s="5"/>
      <c r="EOX1" s="5"/>
      <c r="EOY1" s="5"/>
      <c r="EPA1" s="5"/>
      <c r="EPB1" s="5"/>
      <c r="EPC1" s="5"/>
      <c r="EPE1" s="5"/>
      <c r="EPF1" s="5"/>
      <c r="EPG1" s="5"/>
      <c r="EPI1" s="5"/>
      <c r="EPJ1" s="5"/>
      <c r="EPK1" s="5"/>
      <c r="EPM1" s="5"/>
      <c r="EPN1" s="5"/>
      <c r="EPO1" s="5"/>
      <c r="EPQ1" s="5"/>
      <c r="EPR1" s="5"/>
      <c r="EPS1" s="5"/>
      <c r="EPU1" s="5"/>
      <c r="EPV1" s="5"/>
      <c r="EPW1" s="5"/>
      <c r="EPY1" s="5"/>
      <c r="EPZ1" s="5"/>
      <c r="EQA1" s="5"/>
      <c r="EQC1" s="5"/>
      <c r="EQD1" s="5"/>
      <c r="EQE1" s="5"/>
      <c r="EQG1" s="5"/>
      <c r="EQH1" s="5"/>
      <c r="EQI1" s="5"/>
      <c r="EQK1" s="5"/>
      <c r="EQL1" s="5"/>
      <c r="EQM1" s="5"/>
      <c r="EQO1" s="5"/>
      <c r="EQP1" s="5"/>
      <c r="EQQ1" s="5"/>
      <c r="EQS1" s="5"/>
      <c r="EQT1" s="5"/>
      <c r="EQU1" s="5"/>
      <c r="EQW1" s="5"/>
      <c r="EQX1" s="5"/>
      <c r="EQY1" s="5"/>
      <c r="ERA1" s="5"/>
      <c r="ERB1" s="5"/>
      <c r="ERC1" s="5"/>
      <c r="ERE1" s="5"/>
      <c r="ERF1" s="5"/>
      <c r="ERG1" s="5"/>
      <c r="ERI1" s="5"/>
      <c r="ERJ1" s="5"/>
      <c r="ERK1" s="5"/>
      <c r="ERM1" s="5"/>
      <c r="ERN1" s="5"/>
      <c r="ERO1" s="5"/>
      <c r="ERQ1" s="5"/>
      <c r="ERR1" s="5"/>
      <c r="ERS1" s="5"/>
      <c r="ERU1" s="5"/>
      <c r="ERV1" s="5"/>
      <c r="ERW1" s="5"/>
      <c r="ERY1" s="5"/>
      <c r="ERZ1" s="5"/>
      <c r="ESA1" s="5"/>
      <c r="ESC1" s="5"/>
      <c r="ESD1" s="5"/>
      <c r="ESE1" s="5"/>
      <c r="ESG1" s="5"/>
      <c r="ESH1" s="5"/>
      <c r="ESI1" s="5"/>
      <c r="ESK1" s="5"/>
      <c r="ESL1" s="5"/>
      <c r="ESM1" s="5"/>
      <c r="ESO1" s="5"/>
      <c r="ESP1" s="5"/>
      <c r="ESQ1" s="5"/>
      <c r="ESS1" s="5"/>
      <c r="EST1" s="5"/>
      <c r="ESU1" s="5"/>
      <c r="ESW1" s="5"/>
      <c r="ESX1" s="5"/>
      <c r="ESY1" s="5"/>
      <c r="ETA1" s="5"/>
      <c r="ETB1" s="5"/>
      <c r="ETC1" s="5"/>
      <c r="ETE1" s="5"/>
      <c r="ETF1" s="5"/>
      <c r="ETG1" s="5"/>
      <c r="ETI1" s="5"/>
      <c r="ETJ1" s="5"/>
      <c r="ETK1" s="5"/>
      <c r="ETM1" s="5"/>
      <c r="ETN1" s="5"/>
      <c r="ETO1" s="5"/>
      <c r="ETQ1" s="5"/>
      <c r="ETR1" s="5"/>
      <c r="ETS1" s="5"/>
      <c r="ETU1" s="5"/>
      <c r="ETV1" s="5"/>
      <c r="ETW1" s="5"/>
      <c r="ETY1" s="5"/>
      <c r="ETZ1" s="5"/>
      <c r="EUA1" s="5"/>
      <c r="EUC1" s="5"/>
      <c r="EUD1" s="5"/>
      <c r="EUE1" s="5"/>
      <c r="EUG1" s="5"/>
      <c r="EUH1" s="5"/>
      <c r="EUI1" s="5"/>
      <c r="EUK1" s="5"/>
      <c r="EUL1" s="5"/>
      <c r="EUM1" s="5"/>
      <c r="EUO1" s="5"/>
      <c r="EUP1" s="5"/>
      <c r="EUQ1" s="5"/>
      <c r="EUS1" s="5"/>
      <c r="EUT1" s="5"/>
      <c r="EUU1" s="5"/>
      <c r="EUW1" s="5"/>
      <c r="EUX1" s="5"/>
      <c r="EUY1" s="5"/>
      <c r="EVA1" s="5"/>
      <c r="EVB1" s="5"/>
      <c r="EVC1" s="5"/>
      <c r="EVE1" s="5"/>
      <c r="EVF1" s="5"/>
      <c r="EVG1" s="5"/>
      <c r="EVI1" s="5"/>
      <c r="EVJ1" s="5"/>
      <c r="EVK1" s="5"/>
      <c r="EVM1" s="5"/>
      <c r="EVN1" s="5"/>
      <c r="EVO1" s="5"/>
      <c r="EVQ1" s="5"/>
      <c r="EVR1" s="5"/>
      <c r="EVS1" s="5"/>
      <c r="EVU1" s="5"/>
      <c r="EVV1" s="5"/>
      <c r="EVW1" s="5"/>
      <c r="EVY1" s="5"/>
      <c r="EVZ1" s="5"/>
      <c r="EWA1" s="5"/>
      <c r="EWC1" s="5"/>
      <c r="EWD1" s="5"/>
      <c r="EWE1" s="5"/>
      <c r="EWG1" s="5"/>
      <c r="EWH1" s="5"/>
      <c r="EWI1" s="5"/>
      <c r="EWK1" s="5"/>
      <c r="EWL1" s="5"/>
      <c r="EWM1" s="5"/>
      <c r="EWO1" s="5"/>
      <c r="EWP1" s="5"/>
      <c r="EWQ1" s="5"/>
      <c r="EWS1" s="5"/>
      <c r="EWT1" s="5"/>
      <c r="EWU1" s="5"/>
      <c r="EWW1" s="5"/>
      <c r="EWX1" s="5"/>
      <c r="EWY1" s="5"/>
      <c r="EXA1" s="5"/>
      <c r="EXB1" s="5"/>
      <c r="EXC1" s="5"/>
      <c r="EXE1" s="5"/>
      <c r="EXF1" s="5"/>
      <c r="EXG1" s="5"/>
      <c r="EXI1" s="5"/>
      <c r="EXJ1" s="5"/>
      <c r="EXK1" s="5"/>
      <c r="EXM1" s="5"/>
      <c r="EXN1" s="5"/>
      <c r="EXO1" s="5"/>
      <c r="EXQ1" s="5"/>
      <c r="EXR1" s="5"/>
      <c r="EXS1" s="5"/>
      <c r="EXU1" s="5"/>
      <c r="EXV1" s="5"/>
      <c r="EXW1" s="5"/>
      <c r="EXY1" s="5"/>
      <c r="EXZ1" s="5"/>
      <c r="EYA1" s="5"/>
      <c r="EYC1" s="5"/>
      <c r="EYD1" s="5"/>
      <c r="EYE1" s="5"/>
      <c r="EYG1" s="5"/>
      <c r="EYH1" s="5"/>
      <c r="EYI1" s="5"/>
      <c r="EYK1" s="5"/>
      <c r="EYL1" s="5"/>
      <c r="EYM1" s="5"/>
      <c r="EYO1" s="5"/>
      <c r="EYP1" s="5"/>
      <c r="EYQ1" s="5"/>
      <c r="EYS1" s="5"/>
      <c r="EYT1" s="5"/>
      <c r="EYU1" s="5"/>
      <c r="EYW1" s="5"/>
      <c r="EYX1" s="5"/>
      <c r="EYY1" s="5"/>
      <c r="EZA1" s="5"/>
      <c r="EZB1" s="5"/>
      <c r="EZC1" s="5"/>
      <c r="EZE1" s="5"/>
      <c r="EZF1" s="5"/>
      <c r="EZG1" s="5"/>
      <c r="EZI1" s="5"/>
      <c r="EZJ1" s="5"/>
      <c r="EZK1" s="5"/>
      <c r="EZM1" s="5"/>
      <c r="EZN1" s="5"/>
      <c r="EZO1" s="5"/>
      <c r="EZQ1" s="5"/>
      <c r="EZR1" s="5"/>
      <c r="EZS1" s="5"/>
      <c r="EZU1" s="5"/>
      <c r="EZV1" s="5"/>
      <c r="EZW1" s="5"/>
      <c r="EZY1" s="5"/>
      <c r="EZZ1" s="5"/>
      <c r="FAA1" s="5"/>
      <c r="FAC1" s="5"/>
      <c r="FAD1" s="5"/>
      <c r="FAE1" s="5"/>
      <c r="FAG1" s="5"/>
      <c r="FAH1" s="5"/>
      <c r="FAI1" s="5"/>
      <c r="FAK1" s="5"/>
      <c r="FAL1" s="5"/>
      <c r="FAM1" s="5"/>
      <c r="FAO1" s="5"/>
      <c r="FAP1" s="5"/>
      <c r="FAQ1" s="5"/>
      <c r="FAS1" s="5"/>
      <c r="FAT1" s="5"/>
      <c r="FAU1" s="5"/>
      <c r="FAW1" s="5"/>
      <c r="FAX1" s="5"/>
      <c r="FAY1" s="5"/>
      <c r="FBA1" s="5"/>
      <c r="FBB1" s="5"/>
      <c r="FBC1" s="5"/>
      <c r="FBE1" s="5"/>
      <c r="FBF1" s="5"/>
      <c r="FBG1" s="5"/>
      <c r="FBI1" s="5"/>
      <c r="FBJ1" s="5"/>
      <c r="FBK1" s="5"/>
      <c r="FBM1" s="5"/>
      <c r="FBN1" s="5"/>
      <c r="FBO1" s="5"/>
      <c r="FBQ1" s="5"/>
      <c r="FBR1" s="5"/>
      <c r="FBS1" s="5"/>
      <c r="FBU1" s="5"/>
      <c r="FBV1" s="5"/>
      <c r="FBW1" s="5"/>
      <c r="FBY1" s="5"/>
      <c r="FBZ1" s="5"/>
      <c r="FCA1" s="5"/>
      <c r="FCC1" s="5"/>
      <c r="FCD1" s="5"/>
      <c r="FCE1" s="5"/>
      <c r="FCG1" s="5"/>
      <c r="FCH1" s="5"/>
      <c r="FCI1" s="5"/>
      <c r="FCK1" s="5"/>
      <c r="FCL1" s="5"/>
      <c r="FCM1" s="5"/>
      <c r="FCO1" s="5"/>
      <c r="FCP1" s="5"/>
      <c r="FCQ1" s="5"/>
      <c r="FCS1" s="5"/>
      <c r="FCT1" s="5"/>
      <c r="FCU1" s="5"/>
      <c r="FCW1" s="5"/>
      <c r="FCX1" s="5"/>
      <c r="FCY1" s="5"/>
      <c r="FDA1" s="5"/>
      <c r="FDB1" s="5"/>
      <c r="FDC1" s="5"/>
      <c r="FDE1" s="5"/>
      <c r="FDF1" s="5"/>
      <c r="FDG1" s="5"/>
      <c r="FDI1" s="5"/>
      <c r="FDJ1" s="5"/>
      <c r="FDK1" s="5"/>
      <c r="FDM1" s="5"/>
      <c r="FDN1" s="5"/>
      <c r="FDO1" s="5"/>
      <c r="FDQ1" s="5"/>
      <c r="FDR1" s="5"/>
      <c r="FDS1" s="5"/>
      <c r="FDU1" s="5"/>
      <c r="FDV1" s="5"/>
      <c r="FDW1" s="5"/>
      <c r="FDY1" s="5"/>
      <c r="FDZ1" s="5"/>
      <c r="FEA1" s="5"/>
      <c r="FEC1" s="5"/>
      <c r="FED1" s="5"/>
      <c r="FEE1" s="5"/>
      <c r="FEG1" s="5"/>
      <c r="FEH1" s="5"/>
      <c r="FEI1" s="5"/>
      <c r="FEK1" s="5"/>
      <c r="FEL1" s="5"/>
      <c r="FEM1" s="5"/>
      <c r="FEO1" s="5"/>
      <c r="FEP1" s="5"/>
      <c r="FEQ1" s="5"/>
      <c r="FES1" s="5"/>
      <c r="FET1" s="5"/>
      <c r="FEU1" s="5"/>
      <c r="FEW1" s="5"/>
      <c r="FEX1" s="5"/>
      <c r="FEY1" s="5"/>
      <c r="FFA1" s="5"/>
      <c r="FFB1" s="5"/>
      <c r="FFC1" s="5"/>
      <c r="FFE1" s="5"/>
      <c r="FFF1" s="5"/>
      <c r="FFG1" s="5"/>
      <c r="FFI1" s="5"/>
      <c r="FFJ1" s="5"/>
      <c r="FFK1" s="5"/>
      <c r="FFM1" s="5"/>
      <c r="FFN1" s="5"/>
      <c r="FFO1" s="5"/>
      <c r="FFQ1" s="5"/>
      <c r="FFR1" s="5"/>
      <c r="FFS1" s="5"/>
      <c r="FFU1" s="5"/>
      <c r="FFV1" s="5"/>
      <c r="FFW1" s="5"/>
      <c r="FFY1" s="5"/>
      <c r="FFZ1" s="5"/>
      <c r="FGA1" s="5"/>
      <c r="FGC1" s="5"/>
      <c r="FGD1" s="5"/>
      <c r="FGE1" s="5"/>
      <c r="FGG1" s="5"/>
      <c r="FGH1" s="5"/>
      <c r="FGI1" s="5"/>
      <c r="FGK1" s="5"/>
      <c r="FGL1" s="5"/>
      <c r="FGM1" s="5"/>
      <c r="FGO1" s="5"/>
      <c r="FGP1" s="5"/>
      <c r="FGQ1" s="5"/>
      <c r="FGS1" s="5"/>
      <c r="FGT1" s="5"/>
      <c r="FGU1" s="5"/>
      <c r="FGW1" s="5"/>
      <c r="FGX1" s="5"/>
      <c r="FGY1" s="5"/>
      <c r="FHA1" s="5"/>
      <c r="FHB1" s="5"/>
      <c r="FHC1" s="5"/>
      <c r="FHE1" s="5"/>
      <c r="FHF1" s="5"/>
      <c r="FHG1" s="5"/>
      <c r="FHI1" s="5"/>
      <c r="FHJ1" s="5"/>
      <c r="FHK1" s="5"/>
      <c r="FHM1" s="5"/>
      <c r="FHN1" s="5"/>
      <c r="FHO1" s="5"/>
      <c r="FHQ1" s="5"/>
      <c r="FHR1" s="5"/>
      <c r="FHS1" s="5"/>
      <c r="FHU1" s="5"/>
      <c r="FHV1" s="5"/>
      <c r="FHW1" s="5"/>
      <c r="FHY1" s="5"/>
      <c r="FHZ1" s="5"/>
      <c r="FIA1" s="5"/>
      <c r="FIC1" s="5"/>
      <c r="FID1" s="5"/>
      <c r="FIE1" s="5"/>
      <c r="FIG1" s="5"/>
      <c r="FIH1" s="5"/>
      <c r="FII1" s="5"/>
      <c r="FIK1" s="5"/>
      <c r="FIL1" s="5"/>
      <c r="FIM1" s="5"/>
      <c r="FIO1" s="5"/>
      <c r="FIP1" s="5"/>
      <c r="FIQ1" s="5"/>
      <c r="FIS1" s="5"/>
      <c r="FIT1" s="5"/>
      <c r="FIU1" s="5"/>
      <c r="FIW1" s="5"/>
      <c r="FIX1" s="5"/>
      <c r="FIY1" s="5"/>
      <c r="FJA1" s="5"/>
      <c r="FJB1" s="5"/>
      <c r="FJC1" s="5"/>
      <c r="FJE1" s="5"/>
      <c r="FJF1" s="5"/>
      <c r="FJG1" s="5"/>
      <c r="FJI1" s="5"/>
      <c r="FJJ1" s="5"/>
      <c r="FJK1" s="5"/>
      <c r="FJM1" s="5"/>
      <c r="FJN1" s="5"/>
      <c r="FJO1" s="5"/>
      <c r="FJQ1" s="5"/>
      <c r="FJR1" s="5"/>
      <c r="FJS1" s="5"/>
      <c r="FJU1" s="5"/>
      <c r="FJV1" s="5"/>
      <c r="FJW1" s="5"/>
      <c r="FJY1" s="5"/>
      <c r="FJZ1" s="5"/>
      <c r="FKA1" s="5"/>
      <c r="FKC1" s="5"/>
      <c r="FKD1" s="5"/>
      <c r="FKE1" s="5"/>
      <c r="FKG1" s="5"/>
      <c r="FKH1" s="5"/>
      <c r="FKI1" s="5"/>
      <c r="FKK1" s="5"/>
      <c r="FKL1" s="5"/>
      <c r="FKM1" s="5"/>
      <c r="FKO1" s="5"/>
      <c r="FKP1" s="5"/>
      <c r="FKQ1" s="5"/>
      <c r="FKS1" s="5"/>
      <c r="FKT1" s="5"/>
      <c r="FKU1" s="5"/>
      <c r="FKW1" s="5"/>
      <c r="FKX1" s="5"/>
      <c r="FKY1" s="5"/>
      <c r="FLA1" s="5"/>
      <c r="FLB1" s="5"/>
      <c r="FLC1" s="5"/>
      <c r="FLE1" s="5"/>
      <c r="FLF1" s="5"/>
      <c r="FLG1" s="5"/>
      <c r="FLI1" s="5"/>
      <c r="FLJ1" s="5"/>
      <c r="FLK1" s="5"/>
      <c r="FLM1" s="5"/>
      <c r="FLN1" s="5"/>
      <c r="FLO1" s="5"/>
      <c r="FLQ1" s="5"/>
      <c r="FLR1" s="5"/>
      <c r="FLS1" s="5"/>
      <c r="FLU1" s="5"/>
      <c r="FLV1" s="5"/>
      <c r="FLW1" s="5"/>
      <c r="FLY1" s="5"/>
      <c r="FLZ1" s="5"/>
      <c r="FMA1" s="5"/>
      <c r="FMC1" s="5"/>
      <c r="FMD1" s="5"/>
      <c r="FME1" s="5"/>
      <c r="FMG1" s="5"/>
      <c r="FMH1" s="5"/>
      <c r="FMI1" s="5"/>
      <c r="FMK1" s="5"/>
      <c r="FML1" s="5"/>
      <c r="FMM1" s="5"/>
      <c r="FMO1" s="5"/>
      <c r="FMP1" s="5"/>
      <c r="FMQ1" s="5"/>
      <c r="FMS1" s="5"/>
      <c r="FMT1" s="5"/>
      <c r="FMU1" s="5"/>
      <c r="FMW1" s="5"/>
      <c r="FMX1" s="5"/>
      <c r="FMY1" s="5"/>
      <c r="FNA1" s="5"/>
      <c r="FNB1" s="5"/>
      <c r="FNC1" s="5"/>
      <c r="FNE1" s="5"/>
      <c r="FNF1" s="5"/>
      <c r="FNG1" s="5"/>
      <c r="FNI1" s="5"/>
      <c r="FNJ1" s="5"/>
      <c r="FNK1" s="5"/>
      <c r="FNM1" s="5"/>
      <c r="FNN1" s="5"/>
      <c r="FNO1" s="5"/>
      <c r="FNQ1" s="5"/>
      <c r="FNR1" s="5"/>
      <c r="FNS1" s="5"/>
      <c r="FNU1" s="5"/>
      <c r="FNV1" s="5"/>
      <c r="FNW1" s="5"/>
      <c r="FNY1" s="5"/>
      <c r="FNZ1" s="5"/>
      <c r="FOA1" s="5"/>
      <c r="FOC1" s="5"/>
      <c r="FOD1" s="5"/>
      <c r="FOE1" s="5"/>
      <c r="FOG1" s="5"/>
      <c r="FOH1" s="5"/>
      <c r="FOI1" s="5"/>
      <c r="FOK1" s="5"/>
      <c r="FOL1" s="5"/>
      <c r="FOM1" s="5"/>
      <c r="FOO1" s="5"/>
      <c r="FOP1" s="5"/>
      <c r="FOQ1" s="5"/>
      <c r="FOS1" s="5"/>
      <c r="FOT1" s="5"/>
      <c r="FOU1" s="5"/>
      <c r="FOW1" s="5"/>
      <c r="FOX1" s="5"/>
      <c r="FOY1" s="5"/>
      <c r="FPA1" s="5"/>
      <c r="FPB1" s="5"/>
      <c r="FPC1" s="5"/>
      <c r="FPE1" s="5"/>
      <c r="FPF1" s="5"/>
      <c r="FPG1" s="5"/>
      <c r="FPI1" s="5"/>
      <c r="FPJ1" s="5"/>
      <c r="FPK1" s="5"/>
      <c r="FPM1" s="5"/>
      <c r="FPN1" s="5"/>
      <c r="FPO1" s="5"/>
      <c r="FPQ1" s="5"/>
      <c r="FPR1" s="5"/>
      <c r="FPS1" s="5"/>
      <c r="FPU1" s="5"/>
      <c r="FPV1" s="5"/>
      <c r="FPW1" s="5"/>
      <c r="FPY1" s="5"/>
      <c r="FPZ1" s="5"/>
      <c r="FQA1" s="5"/>
      <c r="FQC1" s="5"/>
      <c r="FQD1" s="5"/>
      <c r="FQE1" s="5"/>
      <c r="FQG1" s="5"/>
      <c r="FQH1" s="5"/>
      <c r="FQI1" s="5"/>
      <c r="FQK1" s="5"/>
      <c r="FQL1" s="5"/>
      <c r="FQM1" s="5"/>
      <c r="FQO1" s="5"/>
      <c r="FQP1" s="5"/>
      <c r="FQQ1" s="5"/>
      <c r="FQS1" s="5"/>
      <c r="FQT1" s="5"/>
      <c r="FQU1" s="5"/>
      <c r="FQW1" s="5"/>
      <c r="FQX1" s="5"/>
      <c r="FQY1" s="5"/>
      <c r="FRA1" s="5"/>
      <c r="FRB1" s="5"/>
      <c r="FRC1" s="5"/>
      <c r="FRE1" s="5"/>
      <c r="FRF1" s="5"/>
      <c r="FRG1" s="5"/>
      <c r="FRI1" s="5"/>
      <c r="FRJ1" s="5"/>
      <c r="FRK1" s="5"/>
      <c r="FRM1" s="5"/>
      <c r="FRN1" s="5"/>
      <c r="FRO1" s="5"/>
      <c r="FRQ1" s="5"/>
      <c r="FRR1" s="5"/>
      <c r="FRS1" s="5"/>
      <c r="FRU1" s="5"/>
      <c r="FRV1" s="5"/>
      <c r="FRW1" s="5"/>
      <c r="FRY1" s="5"/>
      <c r="FRZ1" s="5"/>
      <c r="FSA1" s="5"/>
      <c r="FSC1" s="5"/>
      <c r="FSD1" s="5"/>
      <c r="FSE1" s="5"/>
      <c r="FSG1" s="5"/>
      <c r="FSH1" s="5"/>
      <c r="FSI1" s="5"/>
      <c r="FSK1" s="5"/>
      <c r="FSL1" s="5"/>
      <c r="FSM1" s="5"/>
      <c r="FSO1" s="5"/>
      <c r="FSP1" s="5"/>
      <c r="FSQ1" s="5"/>
      <c r="FSS1" s="5"/>
      <c r="FST1" s="5"/>
      <c r="FSU1" s="5"/>
      <c r="FSW1" s="5"/>
      <c r="FSX1" s="5"/>
      <c r="FSY1" s="5"/>
      <c r="FTA1" s="5"/>
      <c r="FTB1" s="5"/>
      <c r="FTC1" s="5"/>
      <c r="FTE1" s="5"/>
      <c r="FTF1" s="5"/>
      <c r="FTG1" s="5"/>
      <c r="FTI1" s="5"/>
      <c r="FTJ1" s="5"/>
      <c r="FTK1" s="5"/>
      <c r="FTM1" s="5"/>
      <c r="FTN1" s="5"/>
      <c r="FTO1" s="5"/>
      <c r="FTQ1" s="5"/>
      <c r="FTR1" s="5"/>
      <c r="FTS1" s="5"/>
      <c r="FTU1" s="5"/>
      <c r="FTV1" s="5"/>
      <c r="FTW1" s="5"/>
      <c r="FTY1" s="5"/>
      <c r="FTZ1" s="5"/>
      <c r="FUA1" s="5"/>
      <c r="FUC1" s="5"/>
      <c r="FUD1" s="5"/>
      <c r="FUE1" s="5"/>
      <c r="FUG1" s="5"/>
      <c r="FUH1" s="5"/>
      <c r="FUI1" s="5"/>
      <c r="FUK1" s="5"/>
      <c r="FUL1" s="5"/>
      <c r="FUM1" s="5"/>
      <c r="FUO1" s="5"/>
      <c r="FUP1" s="5"/>
      <c r="FUQ1" s="5"/>
      <c r="FUS1" s="5"/>
      <c r="FUT1" s="5"/>
      <c r="FUU1" s="5"/>
      <c r="FUW1" s="5"/>
      <c r="FUX1" s="5"/>
      <c r="FUY1" s="5"/>
      <c r="FVA1" s="5"/>
      <c r="FVB1" s="5"/>
      <c r="FVC1" s="5"/>
      <c r="FVE1" s="5"/>
      <c r="FVF1" s="5"/>
      <c r="FVG1" s="5"/>
      <c r="FVI1" s="5"/>
      <c r="FVJ1" s="5"/>
      <c r="FVK1" s="5"/>
      <c r="FVM1" s="5"/>
      <c r="FVN1" s="5"/>
      <c r="FVO1" s="5"/>
      <c r="FVQ1" s="5"/>
      <c r="FVR1" s="5"/>
      <c r="FVS1" s="5"/>
      <c r="FVU1" s="5"/>
      <c r="FVV1" s="5"/>
      <c r="FVW1" s="5"/>
      <c r="FVY1" s="5"/>
      <c r="FVZ1" s="5"/>
      <c r="FWA1" s="5"/>
      <c r="FWC1" s="5"/>
      <c r="FWD1" s="5"/>
      <c r="FWE1" s="5"/>
      <c r="FWG1" s="5"/>
      <c r="FWH1" s="5"/>
      <c r="FWI1" s="5"/>
      <c r="FWK1" s="5"/>
      <c r="FWL1" s="5"/>
      <c r="FWM1" s="5"/>
      <c r="FWO1" s="5"/>
      <c r="FWP1" s="5"/>
      <c r="FWQ1" s="5"/>
      <c r="FWS1" s="5"/>
      <c r="FWT1" s="5"/>
      <c r="FWU1" s="5"/>
      <c r="FWW1" s="5"/>
      <c r="FWX1" s="5"/>
      <c r="FWY1" s="5"/>
      <c r="FXA1" s="5"/>
      <c r="FXB1" s="5"/>
      <c r="FXC1" s="5"/>
      <c r="FXE1" s="5"/>
      <c r="FXF1" s="5"/>
      <c r="FXG1" s="5"/>
      <c r="FXI1" s="5"/>
      <c r="FXJ1" s="5"/>
      <c r="FXK1" s="5"/>
      <c r="FXM1" s="5"/>
      <c r="FXN1" s="5"/>
      <c r="FXO1" s="5"/>
      <c r="FXQ1" s="5"/>
      <c r="FXR1" s="5"/>
      <c r="FXS1" s="5"/>
      <c r="FXU1" s="5"/>
      <c r="FXV1" s="5"/>
      <c r="FXW1" s="5"/>
      <c r="FXY1" s="5"/>
      <c r="FXZ1" s="5"/>
      <c r="FYA1" s="5"/>
      <c r="FYC1" s="5"/>
      <c r="FYD1" s="5"/>
      <c r="FYE1" s="5"/>
      <c r="FYG1" s="5"/>
      <c r="FYH1" s="5"/>
      <c r="FYI1" s="5"/>
      <c r="FYK1" s="5"/>
      <c r="FYL1" s="5"/>
      <c r="FYM1" s="5"/>
      <c r="FYO1" s="5"/>
      <c r="FYP1" s="5"/>
      <c r="FYQ1" s="5"/>
      <c r="FYS1" s="5"/>
      <c r="FYT1" s="5"/>
      <c r="FYU1" s="5"/>
      <c r="FYW1" s="5"/>
      <c r="FYX1" s="5"/>
      <c r="FYY1" s="5"/>
      <c r="FZA1" s="5"/>
      <c r="FZB1" s="5"/>
      <c r="FZC1" s="5"/>
      <c r="FZE1" s="5"/>
      <c r="FZF1" s="5"/>
      <c r="FZG1" s="5"/>
      <c r="FZI1" s="5"/>
      <c r="FZJ1" s="5"/>
      <c r="FZK1" s="5"/>
      <c r="FZM1" s="5"/>
      <c r="FZN1" s="5"/>
      <c r="FZO1" s="5"/>
      <c r="FZQ1" s="5"/>
      <c r="FZR1" s="5"/>
      <c r="FZS1" s="5"/>
      <c r="FZU1" s="5"/>
      <c r="FZV1" s="5"/>
      <c r="FZW1" s="5"/>
      <c r="FZY1" s="5"/>
      <c r="FZZ1" s="5"/>
      <c r="GAA1" s="5"/>
      <c r="GAC1" s="5"/>
      <c r="GAD1" s="5"/>
      <c r="GAE1" s="5"/>
      <c r="GAG1" s="5"/>
      <c r="GAH1" s="5"/>
      <c r="GAI1" s="5"/>
      <c r="GAK1" s="5"/>
      <c r="GAL1" s="5"/>
      <c r="GAM1" s="5"/>
      <c r="GAO1" s="5"/>
      <c r="GAP1" s="5"/>
      <c r="GAQ1" s="5"/>
      <c r="GAS1" s="5"/>
      <c r="GAT1" s="5"/>
      <c r="GAU1" s="5"/>
      <c r="GAW1" s="5"/>
      <c r="GAX1" s="5"/>
      <c r="GAY1" s="5"/>
      <c r="GBA1" s="5"/>
      <c r="GBB1" s="5"/>
      <c r="GBC1" s="5"/>
      <c r="GBE1" s="5"/>
      <c r="GBF1" s="5"/>
      <c r="GBG1" s="5"/>
      <c r="GBI1" s="5"/>
      <c r="GBJ1" s="5"/>
      <c r="GBK1" s="5"/>
      <c r="GBM1" s="5"/>
      <c r="GBN1" s="5"/>
      <c r="GBO1" s="5"/>
      <c r="GBQ1" s="5"/>
      <c r="GBR1" s="5"/>
      <c r="GBS1" s="5"/>
      <c r="GBU1" s="5"/>
      <c r="GBV1" s="5"/>
      <c r="GBW1" s="5"/>
      <c r="GBY1" s="5"/>
      <c r="GBZ1" s="5"/>
      <c r="GCA1" s="5"/>
      <c r="GCC1" s="5"/>
      <c r="GCD1" s="5"/>
      <c r="GCE1" s="5"/>
      <c r="GCG1" s="5"/>
      <c r="GCH1" s="5"/>
      <c r="GCI1" s="5"/>
      <c r="GCK1" s="5"/>
      <c r="GCL1" s="5"/>
      <c r="GCM1" s="5"/>
      <c r="GCO1" s="5"/>
      <c r="GCP1" s="5"/>
      <c r="GCQ1" s="5"/>
      <c r="GCS1" s="5"/>
      <c r="GCT1" s="5"/>
      <c r="GCU1" s="5"/>
      <c r="GCW1" s="5"/>
      <c r="GCX1" s="5"/>
      <c r="GCY1" s="5"/>
      <c r="GDA1" s="5"/>
      <c r="GDB1" s="5"/>
      <c r="GDC1" s="5"/>
      <c r="GDE1" s="5"/>
      <c r="GDF1" s="5"/>
      <c r="GDG1" s="5"/>
      <c r="GDI1" s="5"/>
      <c r="GDJ1" s="5"/>
      <c r="GDK1" s="5"/>
      <c r="GDM1" s="5"/>
      <c r="GDN1" s="5"/>
      <c r="GDO1" s="5"/>
      <c r="GDQ1" s="5"/>
      <c r="GDR1" s="5"/>
      <c r="GDS1" s="5"/>
      <c r="GDU1" s="5"/>
      <c r="GDV1" s="5"/>
      <c r="GDW1" s="5"/>
      <c r="GDY1" s="5"/>
      <c r="GDZ1" s="5"/>
      <c r="GEA1" s="5"/>
      <c r="GEC1" s="5"/>
      <c r="GED1" s="5"/>
      <c r="GEE1" s="5"/>
      <c r="GEG1" s="5"/>
      <c r="GEH1" s="5"/>
      <c r="GEI1" s="5"/>
      <c r="GEK1" s="5"/>
      <c r="GEL1" s="5"/>
      <c r="GEM1" s="5"/>
      <c r="GEO1" s="5"/>
      <c r="GEP1" s="5"/>
      <c r="GEQ1" s="5"/>
      <c r="GES1" s="5"/>
      <c r="GET1" s="5"/>
      <c r="GEU1" s="5"/>
      <c r="GEW1" s="5"/>
      <c r="GEX1" s="5"/>
      <c r="GEY1" s="5"/>
      <c r="GFA1" s="5"/>
      <c r="GFB1" s="5"/>
      <c r="GFC1" s="5"/>
      <c r="GFE1" s="5"/>
      <c r="GFF1" s="5"/>
      <c r="GFG1" s="5"/>
      <c r="GFI1" s="5"/>
      <c r="GFJ1" s="5"/>
      <c r="GFK1" s="5"/>
      <c r="GFM1" s="5"/>
      <c r="GFN1" s="5"/>
      <c r="GFO1" s="5"/>
      <c r="GFQ1" s="5"/>
      <c r="GFR1" s="5"/>
      <c r="GFS1" s="5"/>
      <c r="GFU1" s="5"/>
      <c r="GFV1" s="5"/>
      <c r="GFW1" s="5"/>
      <c r="GFY1" s="5"/>
      <c r="GFZ1" s="5"/>
      <c r="GGA1" s="5"/>
      <c r="GGC1" s="5"/>
      <c r="GGD1" s="5"/>
      <c r="GGE1" s="5"/>
      <c r="GGG1" s="5"/>
      <c r="GGH1" s="5"/>
      <c r="GGI1" s="5"/>
      <c r="GGK1" s="5"/>
      <c r="GGL1" s="5"/>
      <c r="GGM1" s="5"/>
      <c r="GGO1" s="5"/>
      <c r="GGP1" s="5"/>
      <c r="GGQ1" s="5"/>
      <c r="GGS1" s="5"/>
      <c r="GGT1" s="5"/>
      <c r="GGU1" s="5"/>
      <c r="GGW1" s="5"/>
      <c r="GGX1" s="5"/>
      <c r="GGY1" s="5"/>
      <c r="GHA1" s="5"/>
      <c r="GHB1" s="5"/>
      <c r="GHC1" s="5"/>
      <c r="GHE1" s="5"/>
      <c r="GHF1" s="5"/>
      <c r="GHG1" s="5"/>
      <c r="GHI1" s="5"/>
      <c r="GHJ1" s="5"/>
      <c r="GHK1" s="5"/>
      <c r="GHM1" s="5"/>
      <c r="GHN1" s="5"/>
      <c r="GHO1" s="5"/>
      <c r="GHQ1" s="5"/>
      <c r="GHR1" s="5"/>
      <c r="GHS1" s="5"/>
      <c r="GHU1" s="5"/>
      <c r="GHV1" s="5"/>
      <c r="GHW1" s="5"/>
      <c r="GHY1" s="5"/>
      <c r="GHZ1" s="5"/>
      <c r="GIA1" s="5"/>
      <c r="GIC1" s="5"/>
      <c r="GID1" s="5"/>
      <c r="GIE1" s="5"/>
      <c r="GIG1" s="5"/>
      <c r="GIH1" s="5"/>
      <c r="GII1" s="5"/>
      <c r="GIK1" s="5"/>
      <c r="GIL1" s="5"/>
      <c r="GIM1" s="5"/>
      <c r="GIO1" s="5"/>
      <c r="GIP1" s="5"/>
      <c r="GIQ1" s="5"/>
      <c r="GIS1" s="5"/>
      <c r="GIT1" s="5"/>
      <c r="GIU1" s="5"/>
      <c r="GIW1" s="5"/>
      <c r="GIX1" s="5"/>
      <c r="GIY1" s="5"/>
      <c r="GJA1" s="5"/>
      <c r="GJB1" s="5"/>
      <c r="GJC1" s="5"/>
      <c r="GJE1" s="5"/>
      <c r="GJF1" s="5"/>
      <c r="GJG1" s="5"/>
      <c r="GJI1" s="5"/>
      <c r="GJJ1" s="5"/>
      <c r="GJK1" s="5"/>
      <c r="GJM1" s="5"/>
      <c r="GJN1" s="5"/>
      <c r="GJO1" s="5"/>
      <c r="GJQ1" s="5"/>
      <c r="GJR1" s="5"/>
      <c r="GJS1" s="5"/>
      <c r="GJU1" s="5"/>
      <c r="GJV1" s="5"/>
      <c r="GJW1" s="5"/>
      <c r="GJY1" s="5"/>
      <c r="GJZ1" s="5"/>
      <c r="GKA1" s="5"/>
      <c r="GKC1" s="5"/>
      <c r="GKD1" s="5"/>
      <c r="GKE1" s="5"/>
      <c r="GKG1" s="5"/>
      <c r="GKH1" s="5"/>
      <c r="GKI1" s="5"/>
      <c r="GKK1" s="5"/>
      <c r="GKL1" s="5"/>
      <c r="GKM1" s="5"/>
      <c r="GKO1" s="5"/>
      <c r="GKP1" s="5"/>
      <c r="GKQ1" s="5"/>
      <c r="GKS1" s="5"/>
      <c r="GKT1" s="5"/>
      <c r="GKU1" s="5"/>
      <c r="GKW1" s="5"/>
      <c r="GKX1" s="5"/>
      <c r="GKY1" s="5"/>
      <c r="GLA1" s="5"/>
      <c r="GLB1" s="5"/>
      <c r="GLC1" s="5"/>
      <c r="GLE1" s="5"/>
      <c r="GLF1" s="5"/>
      <c r="GLG1" s="5"/>
      <c r="GLI1" s="5"/>
      <c r="GLJ1" s="5"/>
      <c r="GLK1" s="5"/>
      <c r="GLM1" s="5"/>
      <c r="GLN1" s="5"/>
      <c r="GLO1" s="5"/>
      <c r="GLQ1" s="5"/>
      <c r="GLR1" s="5"/>
      <c r="GLS1" s="5"/>
      <c r="GLU1" s="5"/>
      <c r="GLV1" s="5"/>
      <c r="GLW1" s="5"/>
      <c r="GLY1" s="5"/>
      <c r="GLZ1" s="5"/>
      <c r="GMA1" s="5"/>
      <c r="GMC1" s="5"/>
      <c r="GMD1" s="5"/>
      <c r="GME1" s="5"/>
      <c r="GMG1" s="5"/>
      <c r="GMH1" s="5"/>
      <c r="GMI1" s="5"/>
      <c r="GMK1" s="5"/>
      <c r="GML1" s="5"/>
      <c r="GMM1" s="5"/>
      <c r="GMO1" s="5"/>
      <c r="GMP1" s="5"/>
      <c r="GMQ1" s="5"/>
      <c r="GMS1" s="5"/>
      <c r="GMT1" s="5"/>
      <c r="GMU1" s="5"/>
      <c r="GMW1" s="5"/>
      <c r="GMX1" s="5"/>
      <c r="GMY1" s="5"/>
      <c r="GNA1" s="5"/>
      <c r="GNB1" s="5"/>
      <c r="GNC1" s="5"/>
      <c r="GNE1" s="5"/>
      <c r="GNF1" s="5"/>
      <c r="GNG1" s="5"/>
      <c r="GNI1" s="5"/>
      <c r="GNJ1" s="5"/>
      <c r="GNK1" s="5"/>
      <c r="GNM1" s="5"/>
      <c r="GNN1" s="5"/>
      <c r="GNO1" s="5"/>
      <c r="GNQ1" s="5"/>
      <c r="GNR1" s="5"/>
      <c r="GNS1" s="5"/>
      <c r="GNU1" s="5"/>
      <c r="GNV1" s="5"/>
      <c r="GNW1" s="5"/>
      <c r="GNY1" s="5"/>
      <c r="GNZ1" s="5"/>
      <c r="GOA1" s="5"/>
      <c r="GOC1" s="5"/>
      <c r="GOD1" s="5"/>
      <c r="GOE1" s="5"/>
      <c r="GOG1" s="5"/>
      <c r="GOH1" s="5"/>
      <c r="GOI1" s="5"/>
      <c r="GOK1" s="5"/>
      <c r="GOL1" s="5"/>
      <c r="GOM1" s="5"/>
      <c r="GOO1" s="5"/>
      <c r="GOP1" s="5"/>
      <c r="GOQ1" s="5"/>
      <c r="GOS1" s="5"/>
      <c r="GOT1" s="5"/>
      <c r="GOU1" s="5"/>
      <c r="GOW1" s="5"/>
      <c r="GOX1" s="5"/>
      <c r="GOY1" s="5"/>
      <c r="GPA1" s="5"/>
      <c r="GPB1" s="5"/>
      <c r="GPC1" s="5"/>
      <c r="GPE1" s="5"/>
      <c r="GPF1" s="5"/>
      <c r="GPG1" s="5"/>
      <c r="GPI1" s="5"/>
      <c r="GPJ1" s="5"/>
      <c r="GPK1" s="5"/>
      <c r="GPM1" s="5"/>
      <c r="GPN1" s="5"/>
      <c r="GPO1" s="5"/>
      <c r="GPQ1" s="5"/>
      <c r="GPR1" s="5"/>
      <c r="GPS1" s="5"/>
      <c r="GPU1" s="5"/>
      <c r="GPV1" s="5"/>
      <c r="GPW1" s="5"/>
      <c r="GPY1" s="5"/>
      <c r="GPZ1" s="5"/>
      <c r="GQA1" s="5"/>
      <c r="GQC1" s="5"/>
      <c r="GQD1" s="5"/>
      <c r="GQE1" s="5"/>
      <c r="GQG1" s="5"/>
      <c r="GQH1" s="5"/>
      <c r="GQI1" s="5"/>
      <c r="GQK1" s="5"/>
      <c r="GQL1" s="5"/>
      <c r="GQM1" s="5"/>
      <c r="GQO1" s="5"/>
      <c r="GQP1" s="5"/>
      <c r="GQQ1" s="5"/>
      <c r="GQS1" s="5"/>
      <c r="GQT1" s="5"/>
      <c r="GQU1" s="5"/>
      <c r="GQW1" s="5"/>
      <c r="GQX1" s="5"/>
      <c r="GQY1" s="5"/>
      <c r="GRA1" s="5"/>
      <c r="GRB1" s="5"/>
      <c r="GRC1" s="5"/>
      <c r="GRE1" s="5"/>
      <c r="GRF1" s="5"/>
      <c r="GRG1" s="5"/>
      <c r="GRI1" s="5"/>
      <c r="GRJ1" s="5"/>
      <c r="GRK1" s="5"/>
      <c r="GRM1" s="5"/>
      <c r="GRN1" s="5"/>
      <c r="GRO1" s="5"/>
      <c r="GRQ1" s="5"/>
      <c r="GRR1" s="5"/>
      <c r="GRS1" s="5"/>
      <c r="GRU1" s="5"/>
      <c r="GRV1" s="5"/>
      <c r="GRW1" s="5"/>
      <c r="GRY1" s="5"/>
      <c r="GRZ1" s="5"/>
      <c r="GSA1" s="5"/>
      <c r="GSC1" s="5"/>
      <c r="GSD1" s="5"/>
      <c r="GSE1" s="5"/>
      <c r="GSG1" s="5"/>
      <c r="GSH1" s="5"/>
      <c r="GSI1" s="5"/>
      <c r="GSK1" s="5"/>
      <c r="GSL1" s="5"/>
      <c r="GSM1" s="5"/>
      <c r="GSO1" s="5"/>
      <c r="GSP1" s="5"/>
      <c r="GSQ1" s="5"/>
      <c r="GSS1" s="5"/>
      <c r="GST1" s="5"/>
      <c r="GSU1" s="5"/>
      <c r="GSW1" s="5"/>
      <c r="GSX1" s="5"/>
      <c r="GSY1" s="5"/>
      <c r="GTA1" s="5"/>
      <c r="GTB1" s="5"/>
      <c r="GTC1" s="5"/>
      <c r="GTE1" s="5"/>
      <c r="GTF1" s="5"/>
      <c r="GTG1" s="5"/>
      <c r="GTI1" s="5"/>
      <c r="GTJ1" s="5"/>
      <c r="GTK1" s="5"/>
      <c r="GTM1" s="5"/>
      <c r="GTN1" s="5"/>
      <c r="GTO1" s="5"/>
      <c r="GTQ1" s="5"/>
      <c r="GTR1" s="5"/>
      <c r="GTS1" s="5"/>
      <c r="GTU1" s="5"/>
      <c r="GTV1" s="5"/>
      <c r="GTW1" s="5"/>
      <c r="GTY1" s="5"/>
      <c r="GTZ1" s="5"/>
      <c r="GUA1" s="5"/>
      <c r="GUC1" s="5"/>
      <c r="GUD1" s="5"/>
      <c r="GUE1" s="5"/>
      <c r="GUG1" s="5"/>
      <c r="GUH1" s="5"/>
      <c r="GUI1" s="5"/>
      <c r="GUK1" s="5"/>
      <c r="GUL1" s="5"/>
      <c r="GUM1" s="5"/>
      <c r="GUO1" s="5"/>
      <c r="GUP1" s="5"/>
      <c r="GUQ1" s="5"/>
      <c r="GUS1" s="5"/>
      <c r="GUT1" s="5"/>
      <c r="GUU1" s="5"/>
      <c r="GUW1" s="5"/>
      <c r="GUX1" s="5"/>
      <c r="GUY1" s="5"/>
      <c r="GVA1" s="5"/>
      <c r="GVB1" s="5"/>
      <c r="GVC1" s="5"/>
      <c r="GVE1" s="5"/>
      <c r="GVF1" s="5"/>
      <c r="GVG1" s="5"/>
      <c r="GVI1" s="5"/>
      <c r="GVJ1" s="5"/>
      <c r="GVK1" s="5"/>
      <c r="GVM1" s="5"/>
      <c r="GVN1" s="5"/>
      <c r="GVO1" s="5"/>
      <c r="GVQ1" s="5"/>
      <c r="GVR1" s="5"/>
      <c r="GVS1" s="5"/>
      <c r="GVU1" s="5"/>
      <c r="GVV1" s="5"/>
      <c r="GVW1" s="5"/>
      <c r="GVY1" s="5"/>
      <c r="GVZ1" s="5"/>
      <c r="GWA1" s="5"/>
      <c r="GWC1" s="5"/>
      <c r="GWD1" s="5"/>
      <c r="GWE1" s="5"/>
      <c r="GWG1" s="5"/>
      <c r="GWH1" s="5"/>
      <c r="GWI1" s="5"/>
      <c r="GWK1" s="5"/>
      <c r="GWL1" s="5"/>
      <c r="GWM1" s="5"/>
      <c r="GWO1" s="5"/>
      <c r="GWP1" s="5"/>
      <c r="GWQ1" s="5"/>
      <c r="GWS1" s="5"/>
      <c r="GWT1" s="5"/>
      <c r="GWU1" s="5"/>
      <c r="GWW1" s="5"/>
      <c r="GWX1" s="5"/>
      <c r="GWY1" s="5"/>
      <c r="GXA1" s="5"/>
      <c r="GXB1" s="5"/>
      <c r="GXC1" s="5"/>
      <c r="GXE1" s="5"/>
      <c r="GXF1" s="5"/>
      <c r="GXG1" s="5"/>
      <c r="GXI1" s="5"/>
      <c r="GXJ1" s="5"/>
      <c r="GXK1" s="5"/>
      <c r="GXM1" s="5"/>
      <c r="GXN1" s="5"/>
      <c r="GXO1" s="5"/>
      <c r="GXQ1" s="5"/>
      <c r="GXR1" s="5"/>
      <c r="GXS1" s="5"/>
      <c r="GXU1" s="5"/>
      <c r="GXV1" s="5"/>
      <c r="GXW1" s="5"/>
      <c r="GXY1" s="5"/>
      <c r="GXZ1" s="5"/>
      <c r="GYA1" s="5"/>
      <c r="GYC1" s="5"/>
      <c r="GYD1" s="5"/>
      <c r="GYE1" s="5"/>
      <c r="GYG1" s="5"/>
      <c r="GYH1" s="5"/>
      <c r="GYI1" s="5"/>
      <c r="GYK1" s="5"/>
      <c r="GYL1" s="5"/>
      <c r="GYM1" s="5"/>
      <c r="GYO1" s="5"/>
      <c r="GYP1" s="5"/>
      <c r="GYQ1" s="5"/>
      <c r="GYS1" s="5"/>
      <c r="GYT1" s="5"/>
      <c r="GYU1" s="5"/>
      <c r="GYW1" s="5"/>
      <c r="GYX1" s="5"/>
      <c r="GYY1" s="5"/>
      <c r="GZA1" s="5"/>
      <c r="GZB1" s="5"/>
      <c r="GZC1" s="5"/>
      <c r="GZE1" s="5"/>
      <c r="GZF1" s="5"/>
      <c r="GZG1" s="5"/>
      <c r="GZI1" s="5"/>
      <c r="GZJ1" s="5"/>
      <c r="GZK1" s="5"/>
      <c r="GZM1" s="5"/>
      <c r="GZN1" s="5"/>
      <c r="GZO1" s="5"/>
      <c r="GZQ1" s="5"/>
      <c r="GZR1" s="5"/>
      <c r="GZS1" s="5"/>
      <c r="GZU1" s="5"/>
      <c r="GZV1" s="5"/>
      <c r="GZW1" s="5"/>
      <c r="GZY1" s="5"/>
      <c r="GZZ1" s="5"/>
      <c r="HAA1" s="5"/>
      <c r="HAC1" s="5"/>
      <c r="HAD1" s="5"/>
      <c r="HAE1" s="5"/>
      <c r="HAG1" s="5"/>
      <c r="HAH1" s="5"/>
      <c r="HAI1" s="5"/>
      <c r="HAK1" s="5"/>
      <c r="HAL1" s="5"/>
      <c r="HAM1" s="5"/>
      <c r="HAO1" s="5"/>
      <c r="HAP1" s="5"/>
      <c r="HAQ1" s="5"/>
      <c r="HAS1" s="5"/>
      <c r="HAT1" s="5"/>
      <c r="HAU1" s="5"/>
      <c r="HAW1" s="5"/>
      <c r="HAX1" s="5"/>
      <c r="HAY1" s="5"/>
      <c r="HBA1" s="5"/>
      <c r="HBB1" s="5"/>
      <c r="HBC1" s="5"/>
      <c r="HBE1" s="5"/>
      <c r="HBF1" s="5"/>
      <c r="HBG1" s="5"/>
      <c r="HBI1" s="5"/>
      <c r="HBJ1" s="5"/>
      <c r="HBK1" s="5"/>
      <c r="HBM1" s="5"/>
      <c r="HBN1" s="5"/>
      <c r="HBO1" s="5"/>
      <c r="HBQ1" s="5"/>
      <c r="HBR1" s="5"/>
      <c r="HBS1" s="5"/>
      <c r="HBU1" s="5"/>
      <c r="HBV1" s="5"/>
      <c r="HBW1" s="5"/>
      <c r="HBY1" s="5"/>
      <c r="HBZ1" s="5"/>
      <c r="HCA1" s="5"/>
      <c r="HCC1" s="5"/>
      <c r="HCD1" s="5"/>
      <c r="HCE1" s="5"/>
      <c r="HCG1" s="5"/>
      <c r="HCH1" s="5"/>
      <c r="HCI1" s="5"/>
      <c r="HCK1" s="5"/>
      <c r="HCL1" s="5"/>
      <c r="HCM1" s="5"/>
      <c r="HCO1" s="5"/>
      <c r="HCP1" s="5"/>
      <c r="HCQ1" s="5"/>
      <c r="HCS1" s="5"/>
      <c r="HCT1" s="5"/>
      <c r="HCU1" s="5"/>
      <c r="HCW1" s="5"/>
      <c r="HCX1" s="5"/>
      <c r="HCY1" s="5"/>
      <c r="HDA1" s="5"/>
      <c r="HDB1" s="5"/>
      <c r="HDC1" s="5"/>
      <c r="HDE1" s="5"/>
      <c r="HDF1" s="5"/>
      <c r="HDG1" s="5"/>
      <c r="HDI1" s="5"/>
      <c r="HDJ1" s="5"/>
      <c r="HDK1" s="5"/>
      <c r="HDM1" s="5"/>
      <c r="HDN1" s="5"/>
      <c r="HDO1" s="5"/>
      <c r="HDQ1" s="5"/>
      <c r="HDR1" s="5"/>
      <c r="HDS1" s="5"/>
      <c r="HDU1" s="5"/>
      <c r="HDV1" s="5"/>
      <c r="HDW1" s="5"/>
      <c r="HDY1" s="5"/>
      <c r="HDZ1" s="5"/>
      <c r="HEA1" s="5"/>
      <c r="HEC1" s="5"/>
      <c r="HED1" s="5"/>
      <c r="HEE1" s="5"/>
      <c r="HEG1" s="5"/>
      <c r="HEH1" s="5"/>
      <c r="HEI1" s="5"/>
      <c r="HEK1" s="5"/>
      <c r="HEL1" s="5"/>
      <c r="HEM1" s="5"/>
      <c r="HEO1" s="5"/>
      <c r="HEP1" s="5"/>
      <c r="HEQ1" s="5"/>
      <c r="HES1" s="5"/>
      <c r="HET1" s="5"/>
      <c r="HEU1" s="5"/>
      <c r="HEW1" s="5"/>
      <c r="HEX1" s="5"/>
      <c r="HEY1" s="5"/>
      <c r="HFA1" s="5"/>
      <c r="HFB1" s="5"/>
      <c r="HFC1" s="5"/>
      <c r="HFE1" s="5"/>
      <c r="HFF1" s="5"/>
      <c r="HFG1" s="5"/>
      <c r="HFI1" s="5"/>
      <c r="HFJ1" s="5"/>
      <c r="HFK1" s="5"/>
      <c r="HFM1" s="5"/>
      <c r="HFN1" s="5"/>
      <c r="HFO1" s="5"/>
      <c r="HFQ1" s="5"/>
      <c r="HFR1" s="5"/>
      <c r="HFS1" s="5"/>
      <c r="HFU1" s="5"/>
      <c r="HFV1" s="5"/>
      <c r="HFW1" s="5"/>
      <c r="HFY1" s="5"/>
      <c r="HFZ1" s="5"/>
      <c r="HGA1" s="5"/>
      <c r="HGC1" s="5"/>
      <c r="HGD1" s="5"/>
      <c r="HGE1" s="5"/>
      <c r="HGG1" s="5"/>
      <c r="HGH1" s="5"/>
      <c r="HGI1" s="5"/>
      <c r="HGK1" s="5"/>
      <c r="HGL1" s="5"/>
      <c r="HGM1" s="5"/>
      <c r="HGO1" s="5"/>
      <c r="HGP1" s="5"/>
      <c r="HGQ1" s="5"/>
      <c r="HGS1" s="5"/>
      <c r="HGT1" s="5"/>
      <c r="HGU1" s="5"/>
      <c r="HGW1" s="5"/>
      <c r="HGX1" s="5"/>
      <c r="HGY1" s="5"/>
      <c r="HHA1" s="5"/>
      <c r="HHB1" s="5"/>
      <c r="HHC1" s="5"/>
      <c r="HHE1" s="5"/>
      <c r="HHF1" s="5"/>
      <c r="HHG1" s="5"/>
      <c r="HHI1" s="5"/>
      <c r="HHJ1" s="5"/>
      <c r="HHK1" s="5"/>
      <c r="HHM1" s="5"/>
      <c r="HHN1" s="5"/>
      <c r="HHO1" s="5"/>
      <c r="HHQ1" s="5"/>
      <c r="HHR1" s="5"/>
      <c r="HHS1" s="5"/>
      <c r="HHU1" s="5"/>
      <c r="HHV1" s="5"/>
      <c r="HHW1" s="5"/>
      <c r="HHY1" s="5"/>
      <c r="HHZ1" s="5"/>
      <c r="HIA1" s="5"/>
      <c r="HIC1" s="5"/>
      <c r="HID1" s="5"/>
      <c r="HIE1" s="5"/>
      <c r="HIG1" s="5"/>
      <c r="HIH1" s="5"/>
      <c r="HII1" s="5"/>
      <c r="HIK1" s="5"/>
      <c r="HIL1" s="5"/>
      <c r="HIM1" s="5"/>
      <c r="HIO1" s="5"/>
      <c r="HIP1" s="5"/>
      <c r="HIQ1" s="5"/>
      <c r="HIS1" s="5"/>
      <c r="HIT1" s="5"/>
      <c r="HIU1" s="5"/>
      <c r="HIW1" s="5"/>
      <c r="HIX1" s="5"/>
      <c r="HIY1" s="5"/>
      <c r="HJA1" s="5"/>
      <c r="HJB1" s="5"/>
      <c r="HJC1" s="5"/>
      <c r="HJE1" s="5"/>
      <c r="HJF1" s="5"/>
      <c r="HJG1" s="5"/>
      <c r="HJI1" s="5"/>
      <c r="HJJ1" s="5"/>
      <c r="HJK1" s="5"/>
      <c r="HJM1" s="5"/>
      <c r="HJN1" s="5"/>
      <c r="HJO1" s="5"/>
      <c r="HJQ1" s="5"/>
      <c r="HJR1" s="5"/>
      <c r="HJS1" s="5"/>
      <c r="HJU1" s="5"/>
      <c r="HJV1" s="5"/>
      <c r="HJW1" s="5"/>
      <c r="HJY1" s="5"/>
      <c r="HJZ1" s="5"/>
      <c r="HKA1" s="5"/>
      <c r="HKC1" s="5"/>
      <c r="HKD1" s="5"/>
      <c r="HKE1" s="5"/>
      <c r="HKG1" s="5"/>
      <c r="HKH1" s="5"/>
      <c r="HKI1" s="5"/>
      <c r="HKK1" s="5"/>
      <c r="HKL1" s="5"/>
      <c r="HKM1" s="5"/>
      <c r="HKO1" s="5"/>
      <c r="HKP1" s="5"/>
      <c r="HKQ1" s="5"/>
      <c r="HKS1" s="5"/>
      <c r="HKT1" s="5"/>
      <c r="HKU1" s="5"/>
      <c r="HKW1" s="5"/>
      <c r="HKX1" s="5"/>
      <c r="HKY1" s="5"/>
      <c r="HLA1" s="5"/>
      <c r="HLB1" s="5"/>
      <c r="HLC1" s="5"/>
      <c r="HLE1" s="5"/>
      <c r="HLF1" s="5"/>
      <c r="HLG1" s="5"/>
      <c r="HLI1" s="5"/>
      <c r="HLJ1" s="5"/>
      <c r="HLK1" s="5"/>
      <c r="HLM1" s="5"/>
      <c r="HLN1" s="5"/>
      <c r="HLO1" s="5"/>
      <c r="HLQ1" s="5"/>
      <c r="HLR1" s="5"/>
      <c r="HLS1" s="5"/>
      <c r="HLU1" s="5"/>
      <c r="HLV1" s="5"/>
      <c r="HLW1" s="5"/>
      <c r="HLY1" s="5"/>
      <c r="HLZ1" s="5"/>
      <c r="HMA1" s="5"/>
      <c r="HMC1" s="5"/>
      <c r="HMD1" s="5"/>
      <c r="HME1" s="5"/>
      <c r="HMG1" s="5"/>
      <c r="HMH1" s="5"/>
      <c r="HMI1" s="5"/>
      <c r="HMK1" s="5"/>
      <c r="HML1" s="5"/>
      <c r="HMM1" s="5"/>
      <c r="HMO1" s="5"/>
      <c r="HMP1" s="5"/>
      <c r="HMQ1" s="5"/>
      <c r="HMS1" s="5"/>
      <c r="HMT1" s="5"/>
      <c r="HMU1" s="5"/>
      <c r="HMW1" s="5"/>
      <c r="HMX1" s="5"/>
      <c r="HMY1" s="5"/>
      <c r="HNA1" s="5"/>
      <c r="HNB1" s="5"/>
      <c r="HNC1" s="5"/>
      <c r="HNE1" s="5"/>
      <c r="HNF1" s="5"/>
      <c r="HNG1" s="5"/>
      <c r="HNI1" s="5"/>
      <c r="HNJ1" s="5"/>
      <c r="HNK1" s="5"/>
      <c r="HNM1" s="5"/>
      <c r="HNN1" s="5"/>
      <c r="HNO1" s="5"/>
      <c r="HNQ1" s="5"/>
      <c r="HNR1" s="5"/>
      <c r="HNS1" s="5"/>
      <c r="HNU1" s="5"/>
      <c r="HNV1" s="5"/>
      <c r="HNW1" s="5"/>
      <c r="HNY1" s="5"/>
      <c r="HNZ1" s="5"/>
      <c r="HOA1" s="5"/>
      <c r="HOC1" s="5"/>
      <c r="HOD1" s="5"/>
      <c r="HOE1" s="5"/>
      <c r="HOG1" s="5"/>
      <c r="HOH1" s="5"/>
      <c r="HOI1" s="5"/>
      <c r="HOK1" s="5"/>
      <c r="HOL1" s="5"/>
      <c r="HOM1" s="5"/>
      <c r="HOO1" s="5"/>
      <c r="HOP1" s="5"/>
      <c r="HOQ1" s="5"/>
      <c r="HOS1" s="5"/>
      <c r="HOT1" s="5"/>
      <c r="HOU1" s="5"/>
      <c r="HOW1" s="5"/>
      <c r="HOX1" s="5"/>
      <c r="HOY1" s="5"/>
      <c r="HPA1" s="5"/>
      <c r="HPB1" s="5"/>
      <c r="HPC1" s="5"/>
      <c r="HPE1" s="5"/>
      <c r="HPF1" s="5"/>
      <c r="HPG1" s="5"/>
      <c r="HPI1" s="5"/>
      <c r="HPJ1" s="5"/>
      <c r="HPK1" s="5"/>
      <c r="HPM1" s="5"/>
      <c r="HPN1" s="5"/>
      <c r="HPO1" s="5"/>
      <c r="HPQ1" s="5"/>
      <c r="HPR1" s="5"/>
      <c r="HPS1" s="5"/>
      <c r="HPU1" s="5"/>
      <c r="HPV1" s="5"/>
      <c r="HPW1" s="5"/>
      <c r="HPY1" s="5"/>
      <c r="HPZ1" s="5"/>
      <c r="HQA1" s="5"/>
      <c r="HQC1" s="5"/>
      <c r="HQD1" s="5"/>
      <c r="HQE1" s="5"/>
      <c r="HQG1" s="5"/>
      <c r="HQH1" s="5"/>
      <c r="HQI1" s="5"/>
      <c r="HQK1" s="5"/>
      <c r="HQL1" s="5"/>
      <c r="HQM1" s="5"/>
      <c r="HQO1" s="5"/>
      <c r="HQP1" s="5"/>
      <c r="HQQ1" s="5"/>
      <c r="HQS1" s="5"/>
      <c r="HQT1" s="5"/>
      <c r="HQU1" s="5"/>
      <c r="HQW1" s="5"/>
      <c r="HQX1" s="5"/>
      <c r="HQY1" s="5"/>
      <c r="HRA1" s="5"/>
      <c r="HRB1" s="5"/>
      <c r="HRC1" s="5"/>
      <c r="HRE1" s="5"/>
      <c r="HRF1" s="5"/>
      <c r="HRG1" s="5"/>
      <c r="HRI1" s="5"/>
      <c r="HRJ1" s="5"/>
      <c r="HRK1" s="5"/>
      <c r="HRM1" s="5"/>
      <c r="HRN1" s="5"/>
      <c r="HRO1" s="5"/>
      <c r="HRQ1" s="5"/>
      <c r="HRR1" s="5"/>
      <c r="HRS1" s="5"/>
      <c r="HRU1" s="5"/>
      <c r="HRV1" s="5"/>
      <c r="HRW1" s="5"/>
      <c r="HRY1" s="5"/>
      <c r="HRZ1" s="5"/>
      <c r="HSA1" s="5"/>
      <c r="HSC1" s="5"/>
      <c r="HSD1" s="5"/>
      <c r="HSE1" s="5"/>
      <c r="HSG1" s="5"/>
      <c r="HSH1" s="5"/>
      <c r="HSI1" s="5"/>
      <c r="HSK1" s="5"/>
      <c r="HSL1" s="5"/>
      <c r="HSM1" s="5"/>
      <c r="HSO1" s="5"/>
      <c r="HSP1" s="5"/>
      <c r="HSQ1" s="5"/>
      <c r="HSS1" s="5"/>
      <c r="HST1" s="5"/>
      <c r="HSU1" s="5"/>
      <c r="HSW1" s="5"/>
      <c r="HSX1" s="5"/>
      <c r="HSY1" s="5"/>
      <c r="HTA1" s="5"/>
      <c r="HTB1" s="5"/>
      <c r="HTC1" s="5"/>
      <c r="HTE1" s="5"/>
      <c r="HTF1" s="5"/>
      <c r="HTG1" s="5"/>
      <c r="HTI1" s="5"/>
      <c r="HTJ1" s="5"/>
      <c r="HTK1" s="5"/>
      <c r="HTM1" s="5"/>
      <c r="HTN1" s="5"/>
      <c r="HTO1" s="5"/>
      <c r="HTQ1" s="5"/>
      <c r="HTR1" s="5"/>
      <c r="HTS1" s="5"/>
      <c r="HTU1" s="5"/>
      <c r="HTV1" s="5"/>
      <c r="HTW1" s="5"/>
      <c r="HTY1" s="5"/>
      <c r="HTZ1" s="5"/>
      <c r="HUA1" s="5"/>
      <c r="HUC1" s="5"/>
      <c r="HUD1" s="5"/>
      <c r="HUE1" s="5"/>
      <c r="HUG1" s="5"/>
      <c r="HUH1" s="5"/>
      <c r="HUI1" s="5"/>
      <c r="HUK1" s="5"/>
      <c r="HUL1" s="5"/>
      <c r="HUM1" s="5"/>
      <c r="HUO1" s="5"/>
      <c r="HUP1" s="5"/>
      <c r="HUQ1" s="5"/>
      <c r="HUS1" s="5"/>
      <c r="HUT1" s="5"/>
      <c r="HUU1" s="5"/>
      <c r="HUW1" s="5"/>
      <c r="HUX1" s="5"/>
      <c r="HUY1" s="5"/>
      <c r="HVA1" s="5"/>
      <c r="HVB1" s="5"/>
      <c r="HVC1" s="5"/>
      <c r="HVE1" s="5"/>
      <c r="HVF1" s="5"/>
      <c r="HVG1" s="5"/>
      <c r="HVI1" s="5"/>
      <c r="HVJ1" s="5"/>
      <c r="HVK1" s="5"/>
      <c r="HVM1" s="5"/>
      <c r="HVN1" s="5"/>
      <c r="HVO1" s="5"/>
      <c r="HVQ1" s="5"/>
      <c r="HVR1" s="5"/>
      <c r="HVS1" s="5"/>
      <c r="HVU1" s="5"/>
      <c r="HVV1" s="5"/>
      <c r="HVW1" s="5"/>
      <c r="HVY1" s="5"/>
      <c r="HVZ1" s="5"/>
      <c r="HWA1" s="5"/>
      <c r="HWC1" s="5"/>
      <c r="HWD1" s="5"/>
      <c r="HWE1" s="5"/>
      <c r="HWG1" s="5"/>
      <c r="HWH1" s="5"/>
      <c r="HWI1" s="5"/>
      <c r="HWK1" s="5"/>
      <c r="HWL1" s="5"/>
      <c r="HWM1" s="5"/>
      <c r="HWO1" s="5"/>
      <c r="HWP1" s="5"/>
      <c r="HWQ1" s="5"/>
      <c r="HWS1" s="5"/>
      <c r="HWT1" s="5"/>
      <c r="HWU1" s="5"/>
      <c r="HWW1" s="5"/>
      <c r="HWX1" s="5"/>
      <c r="HWY1" s="5"/>
      <c r="HXA1" s="5"/>
      <c r="HXB1" s="5"/>
      <c r="HXC1" s="5"/>
      <c r="HXE1" s="5"/>
      <c r="HXF1" s="5"/>
      <c r="HXG1" s="5"/>
      <c r="HXI1" s="5"/>
      <c r="HXJ1" s="5"/>
      <c r="HXK1" s="5"/>
      <c r="HXM1" s="5"/>
      <c r="HXN1" s="5"/>
      <c r="HXO1" s="5"/>
      <c r="HXQ1" s="5"/>
      <c r="HXR1" s="5"/>
      <c r="HXS1" s="5"/>
      <c r="HXU1" s="5"/>
      <c r="HXV1" s="5"/>
      <c r="HXW1" s="5"/>
      <c r="HXY1" s="5"/>
      <c r="HXZ1" s="5"/>
      <c r="HYA1" s="5"/>
      <c r="HYC1" s="5"/>
      <c r="HYD1" s="5"/>
      <c r="HYE1" s="5"/>
      <c r="HYG1" s="5"/>
      <c r="HYH1" s="5"/>
      <c r="HYI1" s="5"/>
      <c r="HYK1" s="5"/>
      <c r="HYL1" s="5"/>
      <c r="HYM1" s="5"/>
      <c r="HYO1" s="5"/>
      <c r="HYP1" s="5"/>
      <c r="HYQ1" s="5"/>
      <c r="HYS1" s="5"/>
      <c r="HYT1" s="5"/>
      <c r="HYU1" s="5"/>
      <c r="HYW1" s="5"/>
      <c r="HYX1" s="5"/>
      <c r="HYY1" s="5"/>
      <c r="HZA1" s="5"/>
      <c r="HZB1" s="5"/>
      <c r="HZC1" s="5"/>
      <c r="HZE1" s="5"/>
      <c r="HZF1" s="5"/>
      <c r="HZG1" s="5"/>
      <c r="HZI1" s="5"/>
      <c r="HZJ1" s="5"/>
      <c r="HZK1" s="5"/>
      <c r="HZM1" s="5"/>
      <c r="HZN1" s="5"/>
      <c r="HZO1" s="5"/>
      <c r="HZQ1" s="5"/>
      <c r="HZR1" s="5"/>
      <c r="HZS1" s="5"/>
      <c r="HZU1" s="5"/>
      <c r="HZV1" s="5"/>
      <c r="HZW1" s="5"/>
      <c r="HZY1" s="5"/>
      <c r="HZZ1" s="5"/>
      <c r="IAA1" s="5"/>
      <c r="IAC1" s="5"/>
      <c r="IAD1" s="5"/>
      <c r="IAE1" s="5"/>
      <c r="IAG1" s="5"/>
      <c r="IAH1" s="5"/>
      <c r="IAI1" s="5"/>
      <c r="IAK1" s="5"/>
      <c r="IAL1" s="5"/>
      <c r="IAM1" s="5"/>
      <c r="IAO1" s="5"/>
      <c r="IAP1" s="5"/>
      <c r="IAQ1" s="5"/>
      <c r="IAS1" s="5"/>
      <c r="IAT1" s="5"/>
      <c r="IAU1" s="5"/>
      <c r="IAW1" s="5"/>
      <c r="IAX1" s="5"/>
      <c r="IAY1" s="5"/>
      <c r="IBA1" s="5"/>
      <c r="IBB1" s="5"/>
      <c r="IBC1" s="5"/>
      <c r="IBE1" s="5"/>
      <c r="IBF1" s="5"/>
      <c r="IBG1" s="5"/>
      <c r="IBI1" s="5"/>
      <c r="IBJ1" s="5"/>
      <c r="IBK1" s="5"/>
      <c r="IBM1" s="5"/>
      <c r="IBN1" s="5"/>
      <c r="IBO1" s="5"/>
      <c r="IBQ1" s="5"/>
      <c r="IBR1" s="5"/>
      <c r="IBS1" s="5"/>
      <c r="IBU1" s="5"/>
      <c r="IBV1" s="5"/>
      <c r="IBW1" s="5"/>
      <c r="IBY1" s="5"/>
      <c r="IBZ1" s="5"/>
      <c r="ICA1" s="5"/>
      <c r="ICC1" s="5"/>
      <c r="ICD1" s="5"/>
      <c r="ICE1" s="5"/>
      <c r="ICG1" s="5"/>
      <c r="ICH1" s="5"/>
      <c r="ICI1" s="5"/>
      <c r="ICK1" s="5"/>
      <c r="ICL1" s="5"/>
      <c r="ICM1" s="5"/>
      <c r="ICO1" s="5"/>
      <c r="ICP1" s="5"/>
      <c r="ICQ1" s="5"/>
      <c r="ICS1" s="5"/>
      <c r="ICT1" s="5"/>
      <c r="ICU1" s="5"/>
      <c r="ICW1" s="5"/>
      <c r="ICX1" s="5"/>
      <c r="ICY1" s="5"/>
      <c r="IDA1" s="5"/>
      <c r="IDB1" s="5"/>
      <c r="IDC1" s="5"/>
      <c r="IDE1" s="5"/>
      <c r="IDF1" s="5"/>
      <c r="IDG1" s="5"/>
      <c r="IDI1" s="5"/>
      <c r="IDJ1" s="5"/>
      <c r="IDK1" s="5"/>
      <c r="IDM1" s="5"/>
      <c r="IDN1" s="5"/>
      <c r="IDO1" s="5"/>
      <c r="IDQ1" s="5"/>
      <c r="IDR1" s="5"/>
      <c r="IDS1" s="5"/>
      <c r="IDU1" s="5"/>
      <c r="IDV1" s="5"/>
      <c r="IDW1" s="5"/>
      <c r="IDY1" s="5"/>
      <c r="IDZ1" s="5"/>
      <c r="IEA1" s="5"/>
      <c r="IEC1" s="5"/>
      <c r="IED1" s="5"/>
      <c r="IEE1" s="5"/>
      <c r="IEG1" s="5"/>
      <c r="IEH1" s="5"/>
      <c r="IEI1" s="5"/>
      <c r="IEK1" s="5"/>
      <c r="IEL1" s="5"/>
      <c r="IEM1" s="5"/>
      <c r="IEO1" s="5"/>
      <c r="IEP1" s="5"/>
      <c r="IEQ1" s="5"/>
      <c r="IES1" s="5"/>
      <c r="IET1" s="5"/>
      <c r="IEU1" s="5"/>
      <c r="IEW1" s="5"/>
      <c r="IEX1" s="5"/>
      <c r="IEY1" s="5"/>
      <c r="IFA1" s="5"/>
      <c r="IFB1" s="5"/>
      <c r="IFC1" s="5"/>
      <c r="IFE1" s="5"/>
      <c r="IFF1" s="5"/>
      <c r="IFG1" s="5"/>
      <c r="IFI1" s="5"/>
      <c r="IFJ1" s="5"/>
      <c r="IFK1" s="5"/>
      <c r="IFM1" s="5"/>
      <c r="IFN1" s="5"/>
      <c r="IFO1" s="5"/>
      <c r="IFQ1" s="5"/>
      <c r="IFR1" s="5"/>
      <c r="IFS1" s="5"/>
      <c r="IFU1" s="5"/>
      <c r="IFV1" s="5"/>
      <c r="IFW1" s="5"/>
      <c r="IFY1" s="5"/>
      <c r="IFZ1" s="5"/>
      <c r="IGA1" s="5"/>
      <c r="IGC1" s="5"/>
      <c r="IGD1" s="5"/>
      <c r="IGE1" s="5"/>
      <c r="IGG1" s="5"/>
      <c r="IGH1" s="5"/>
      <c r="IGI1" s="5"/>
      <c r="IGK1" s="5"/>
      <c r="IGL1" s="5"/>
      <c r="IGM1" s="5"/>
      <c r="IGO1" s="5"/>
      <c r="IGP1" s="5"/>
      <c r="IGQ1" s="5"/>
      <c r="IGS1" s="5"/>
      <c r="IGT1" s="5"/>
      <c r="IGU1" s="5"/>
      <c r="IGW1" s="5"/>
      <c r="IGX1" s="5"/>
      <c r="IGY1" s="5"/>
      <c r="IHA1" s="5"/>
      <c r="IHB1" s="5"/>
      <c r="IHC1" s="5"/>
      <c r="IHE1" s="5"/>
      <c r="IHF1" s="5"/>
      <c r="IHG1" s="5"/>
      <c r="IHI1" s="5"/>
      <c r="IHJ1" s="5"/>
      <c r="IHK1" s="5"/>
      <c r="IHM1" s="5"/>
      <c r="IHN1" s="5"/>
      <c r="IHO1" s="5"/>
      <c r="IHQ1" s="5"/>
      <c r="IHR1" s="5"/>
      <c r="IHS1" s="5"/>
      <c r="IHU1" s="5"/>
      <c r="IHV1" s="5"/>
      <c r="IHW1" s="5"/>
      <c r="IHY1" s="5"/>
      <c r="IHZ1" s="5"/>
      <c r="IIA1" s="5"/>
      <c r="IIC1" s="5"/>
      <c r="IID1" s="5"/>
      <c r="IIE1" s="5"/>
      <c r="IIG1" s="5"/>
      <c r="IIH1" s="5"/>
      <c r="III1" s="5"/>
      <c r="IIK1" s="5"/>
      <c r="IIL1" s="5"/>
      <c r="IIM1" s="5"/>
      <c r="IIO1" s="5"/>
      <c r="IIP1" s="5"/>
      <c r="IIQ1" s="5"/>
      <c r="IIS1" s="5"/>
      <c r="IIT1" s="5"/>
      <c r="IIU1" s="5"/>
      <c r="IIW1" s="5"/>
      <c r="IIX1" s="5"/>
      <c r="IIY1" s="5"/>
      <c r="IJA1" s="5"/>
      <c r="IJB1" s="5"/>
      <c r="IJC1" s="5"/>
      <c r="IJE1" s="5"/>
      <c r="IJF1" s="5"/>
      <c r="IJG1" s="5"/>
      <c r="IJI1" s="5"/>
      <c r="IJJ1" s="5"/>
      <c r="IJK1" s="5"/>
      <c r="IJM1" s="5"/>
      <c r="IJN1" s="5"/>
      <c r="IJO1" s="5"/>
      <c r="IJQ1" s="5"/>
      <c r="IJR1" s="5"/>
      <c r="IJS1" s="5"/>
      <c r="IJU1" s="5"/>
      <c r="IJV1" s="5"/>
      <c r="IJW1" s="5"/>
      <c r="IJY1" s="5"/>
      <c r="IJZ1" s="5"/>
      <c r="IKA1" s="5"/>
      <c r="IKC1" s="5"/>
      <c r="IKD1" s="5"/>
      <c r="IKE1" s="5"/>
      <c r="IKG1" s="5"/>
      <c r="IKH1" s="5"/>
      <c r="IKI1" s="5"/>
      <c r="IKK1" s="5"/>
      <c r="IKL1" s="5"/>
      <c r="IKM1" s="5"/>
      <c r="IKO1" s="5"/>
      <c r="IKP1" s="5"/>
      <c r="IKQ1" s="5"/>
      <c r="IKS1" s="5"/>
      <c r="IKT1" s="5"/>
      <c r="IKU1" s="5"/>
      <c r="IKW1" s="5"/>
      <c r="IKX1" s="5"/>
      <c r="IKY1" s="5"/>
      <c r="ILA1" s="5"/>
      <c r="ILB1" s="5"/>
      <c r="ILC1" s="5"/>
      <c r="ILE1" s="5"/>
      <c r="ILF1" s="5"/>
      <c r="ILG1" s="5"/>
      <c r="ILI1" s="5"/>
      <c r="ILJ1" s="5"/>
      <c r="ILK1" s="5"/>
      <c r="ILM1" s="5"/>
      <c r="ILN1" s="5"/>
      <c r="ILO1" s="5"/>
      <c r="ILQ1" s="5"/>
      <c r="ILR1" s="5"/>
      <c r="ILS1" s="5"/>
      <c r="ILU1" s="5"/>
      <c r="ILV1" s="5"/>
      <c r="ILW1" s="5"/>
      <c r="ILY1" s="5"/>
      <c r="ILZ1" s="5"/>
      <c r="IMA1" s="5"/>
      <c r="IMC1" s="5"/>
      <c r="IMD1" s="5"/>
      <c r="IME1" s="5"/>
      <c r="IMG1" s="5"/>
      <c r="IMH1" s="5"/>
      <c r="IMI1" s="5"/>
      <c r="IMK1" s="5"/>
      <c r="IML1" s="5"/>
      <c r="IMM1" s="5"/>
      <c r="IMO1" s="5"/>
      <c r="IMP1" s="5"/>
      <c r="IMQ1" s="5"/>
      <c r="IMS1" s="5"/>
      <c r="IMT1" s="5"/>
      <c r="IMU1" s="5"/>
      <c r="IMW1" s="5"/>
      <c r="IMX1" s="5"/>
      <c r="IMY1" s="5"/>
      <c r="INA1" s="5"/>
      <c r="INB1" s="5"/>
      <c r="INC1" s="5"/>
      <c r="INE1" s="5"/>
      <c r="INF1" s="5"/>
      <c r="ING1" s="5"/>
      <c r="INI1" s="5"/>
      <c r="INJ1" s="5"/>
      <c r="INK1" s="5"/>
      <c r="INM1" s="5"/>
      <c r="INN1" s="5"/>
      <c r="INO1" s="5"/>
      <c r="INQ1" s="5"/>
      <c r="INR1" s="5"/>
      <c r="INS1" s="5"/>
      <c r="INU1" s="5"/>
      <c r="INV1" s="5"/>
      <c r="INW1" s="5"/>
      <c r="INY1" s="5"/>
      <c r="INZ1" s="5"/>
      <c r="IOA1" s="5"/>
      <c r="IOC1" s="5"/>
      <c r="IOD1" s="5"/>
      <c r="IOE1" s="5"/>
      <c r="IOG1" s="5"/>
      <c r="IOH1" s="5"/>
      <c r="IOI1" s="5"/>
      <c r="IOK1" s="5"/>
      <c r="IOL1" s="5"/>
      <c r="IOM1" s="5"/>
      <c r="IOO1" s="5"/>
      <c r="IOP1" s="5"/>
      <c r="IOQ1" s="5"/>
      <c r="IOS1" s="5"/>
      <c r="IOT1" s="5"/>
      <c r="IOU1" s="5"/>
      <c r="IOW1" s="5"/>
      <c r="IOX1" s="5"/>
      <c r="IOY1" s="5"/>
      <c r="IPA1" s="5"/>
      <c r="IPB1" s="5"/>
      <c r="IPC1" s="5"/>
      <c r="IPE1" s="5"/>
      <c r="IPF1" s="5"/>
      <c r="IPG1" s="5"/>
      <c r="IPI1" s="5"/>
      <c r="IPJ1" s="5"/>
      <c r="IPK1" s="5"/>
      <c r="IPM1" s="5"/>
      <c r="IPN1" s="5"/>
      <c r="IPO1" s="5"/>
      <c r="IPQ1" s="5"/>
      <c r="IPR1" s="5"/>
      <c r="IPS1" s="5"/>
      <c r="IPU1" s="5"/>
      <c r="IPV1" s="5"/>
      <c r="IPW1" s="5"/>
      <c r="IPY1" s="5"/>
      <c r="IPZ1" s="5"/>
      <c r="IQA1" s="5"/>
      <c r="IQC1" s="5"/>
      <c r="IQD1" s="5"/>
      <c r="IQE1" s="5"/>
      <c r="IQG1" s="5"/>
      <c r="IQH1" s="5"/>
      <c r="IQI1" s="5"/>
      <c r="IQK1" s="5"/>
      <c r="IQL1" s="5"/>
      <c r="IQM1" s="5"/>
      <c r="IQO1" s="5"/>
      <c r="IQP1" s="5"/>
      <c r="IQQ1" s="5"/>
      <c r="IQS1" s="5"/>
      <c r="IQT1" s="5"/>
      <c r="IQU1" s="5"/>
      <c r="IQW1" s="5"/>
      <c r="IQX1" s="5"/>
      <c r="IQY1" s="5"/>
      <c r="IRA1" s="5"/>
      <c r="IRB1" s="5"/>
      <c r="IRC1" s="5"/>
      <c r="IRE1" s="5"/>
      <c r="IRF1" s="5"/>
      <c r="IRG1" s="5"/>
      <c r="IRI1" s="5"/>
      <c r="IRJ1" s="5"/>
      <c r="IRK1" s="5"/>
      <c r="IRM1" s="5"/>
      <c r="IRN1" s="5"/>
      <c r="IRO1" s="5"/>
      <c r="IRQ1" s="5"/>
      <c r="IRR1" s="5"/>
      <c r="IRS1" s="5"/>
      <c r="IRU1" s="5"/>
      <c r="IRV1" s="5"/>
      <c r="IRW1" s="5"/>
      <c r="IRY1" s="5"/>
      <c r="IRZ1" s="5"/>
      <c r="ISA1" s="5"/>
      <c r="ISC1" s="5"/>
      <c r="ISD1" s="5"/>
      <c r="ISE1" s="5"/>
      <c r="ISG1" s="5"/>
      <c r="ISH1" s="5"/>
      <c r="ISI1" s="5"/>
      <c r="ISK1" s="5"/>
      <c r="ISL1" s="5"/>
      <c r="ISM1" s="5"/>
      <c r="ISO1" s="5"/>
      <c r="ISP1" s="5"/>
      <c r="ISQ1" s="5"/>
      <c r="ISS1" s="5"/>
      <c r="IST1" s="5"/>
      <c r="ISU1" s="5"/>
      <c r="ISW1" s="5"/>
      <c r="ISX1" s="5"/>
      <c r="ISY1" s="5"/>
      <c r="ITA1" s="5"/>
      <c r="ITB1" s="5"/>
      <c r="ITC1" s="5"/>
      <c r="ITE1" s="5"/>
      <c r="ITF1" s="5"/>
      <c r="ITG1" s="5"/>
      <c r="ITI1" s="5"/>
      <c r="ITJ1" s="5"/>
      <c r="ITK1" s="5"/>
      <c r="ITM1" s="5"/>
      <c r="ITN1" s="5"/>
      <c r="ITO1" s="5"/>
      <c r="ITQ1" s="5"/>
      <c r="ITR1" s="5"/>
      <c r="ITS1" s="5"/>
      <c r="ITU1" s="5"/>
      <c r="ITV1" s="5"/>
      <c r="ITW1" s="5"/>
      <c r="ITY1" s="5"/>
      <c r="ITZ1" s="5"/>
      <c r="IUA1" s="5"/>
      <c r="IUC1" s="5"/>
      <c r="IUD1" s="5"/>
      <c r="IUE1" s="5"/>
      <c r="IUG1" s="5"/>
      <c r="IUH1" s="5"/>
      <c r="IUI1" s="5"/>
      <c r="IUK1" s="5"/>
      <c r="IUL1" s="5"/>
      <c r="IUM1" s="5"/>
      <c r="IUO1" s="5"/>
      <c r="IUP1" s="5"/>
      <c r="IUQ1" s="5"/>
      <c r="IUS1" s="5"/>
      <c r="IUT1" s="5"/>
      <c r="IUU1" s="5"/>
      <c r="IUW1" s="5"/>
      <c r="IUX1" s="5"/>
      <c r="IUY1" s="5"/>
      <c r="IVA1" s="5"/>
      <c r="IVB1" s="5"/>
      <c r="IVC1" s="5"/>
      <c r="IVE1" s="5"/>
      <c r="IVF1" s="5"/>
      <c r="IVG1" s="5"/>
      <c r="IVI1" s="5"/>
      <c r="IVJ1" s="5"/>
      <c r="IVK1" s="5"/>
      <c r="IVM1" s="5"/>
      <c r="IVN1" s="5"/>
      <c r="IVO1" s="5"/>
      <c r="IVQ1" s="5"/>
      <c r="IVR1" s="5"/>
      <c r="IVS1" s="5"/>
      <c r="IVU1" s="5"/>
      <c r="IVV1" s="5"/>
      <c r="IVW1" s="5"/>
      <c r="IVY1" s="5"/>
      <c r="IVZ1" s="5"/>
      <c r="IWA1" s="5"/>
      <c r="IWC1" s="5"/>
      <c r="IWD1" s="5"/>
      <c r="IWE1" s="5"/>
      <c r="IWG1" s="5"/>
      <c r="IWH1" s="5"/>
      <c r="IWI1" s="5"/>
      <c r="IWK1" s="5"/>
      <c r="IWL1" s="5"/>
      <c r="IWM1" s="5"/>
      <c r="IWO1" s="5"/>
      <c r="IWP1" s="5"/>
      <c r="IWQ1" s="5"/>
      <c r="IWS1" s="5"/>
      <c r="IWT1" s="5"/>
      <c r="IWU1" s="5"/>
      <c r="IWW1" s="5"/>
      <c r="IWX1" s="5"/>
      <c r="IWY1" s="5"/>
      <c r="IXA1" s="5"/>
      <c r="IXB1" s="5"/>
      <c r="IXC1" s="5"/>
      <c r="IXE1" s="5"/>
      <c r="IXF1" s="5"/>
      <c r="IXG1" s="5"/>
      <c r="IXI1" s="5"/>
      <c r="IXJ1" s="5"/>
      <c r="IXK1" s="5"/>
      <c r="IXM1" s="5"/>
      <c r="IXN1" s="5"/>
      <c r="IXO1" s="5"/>
      <c r="IXQ1" s="5"/>
      <c r="IXR1" s="5"/>
      <c r="IXS1" s="5"/>
      <c r="IXU1" s="5"/>
      <c r="IXV1" s="5"/>
      <c r="IXW1" s="5"/>
      <c r="IXY1" s="5"/>
      <c r="IXZ1" s="5"/>
      <c r="IYA1" s="5"/>
      <c r="IYC1" s="5"/>
      <c r="IYD1" s="5"/>
      <c r="IYE1" s="5"/>
      <c r="IYG1" s="5"/>
      <c r="IYH1" s="5"/>
      <c r="IYI1" s="5"/>
      <c r="IYK1" s="5"/>
      <c r="IYL1" s="5"/>
      <c r="IYM1" s="5"/>
      <c r="IYO1" s="5"/>
      <c r="IYP1" s="5"/>
      <c r="IYQ1" s="5"/>
      <c r="IYS1" s="5"/>
      <c r="IYT1" s="5"/>
      <c r="IYU1" s="5"/>
      <c r="IYW1" s="5"/>
      <c r="IYX1" s="5"/>
      <c r="IYY1" s="5"/>
      <c r="IZA1" s="5"/>
      <c r="IZB1" s="5"/>
      <c r="IZC1" s="5"/>
      <c r="IZE1" s="5"/>
      <c r="IZF1" s="5"/>
      <c r="IZG1" s="5"/>
      <c r="IZI1" s="5"/>
      <c r="IZJ1" s="5"/>
      <c r="IZK1" s="5"/>
      <c r="IZM1" s="5"/>
      <c r="IZN1" s="5"/>
      <c r="IZO1" s="5"/>
      <c r="IZQ1" s="5"/>
      <c r="IZR1" s="5"/>
      <c r="IZS1" s="5"/>
      <c r="IZU1" s="5"/>
      <c r="IZV1" s="5"/>
      <c r="IZW1" s="5"/>
      <c r="IZY1" s="5"/>
      <c r="IZZ1" s="5"/>
      <c r="JAA1" s="5"/>
      <c r="JAC1" s="5"/>
      <c r="JAD1" s="5"/>
      <c r="JAE1" s="5"/>
      <c r="JAG1" s="5"/>
      <c r="JAH1" s="5"/>
      <c r="JAI1" s="5"/>
      <c r="JAK1" s="5"/>
      <c r="JAL1" s="5"/>
      <c r="JAM1" s="5"/>
      <c r="JAO1" s="5"/>
      <c r="JAP1" s="5"/>
      <c r="JAQ1" s="5"/>
      <c r="JAS1" s="5"/>
      <c r="JAT1" s="5"/>
      <c r="JAU1" s="5"/>
      <c r="JAW1" s="5"/>
      <c r="JAX1" s="5"/>
      <c r="JAY1" s="5"/>
      <c r="JBA1" s="5"/>
      <c r="JBB1" s="5"/>
      <c r="JBC1" s="5"/>
      <c r="JBE1" s="5"/>
      <c r="JBF1" s="5"/>
      <c r="JBG1" s="5"/>
      <c r="JBI1" s="5"/>
      <c r="JBJ1" s="5"/>
      <c r="JBK1" s="5"/>
      <c r="JBM1" s="5"/>
      <c r="JBN1" s="5"/>
      <c r="JBO1" s="5"/>
      <c r="JBQ1" s="5"/>
      <c r="JBR1" s="5"/>
      <c r="JBS1" s="5"/>
      <c r="JBU1" s="5"/>
      <c r="JBV1" s="5"/>
      <c r="JBW1" s="5"/>
      <c r="JBY1" s="5"/>
      <c r="JBZ1" s="5"/>
      <c r="JCA1" s="5"/>
      <c r="JCC1" s="5"/>
      <c r="JCD1" s="5"/>
      <c r="JCE1" s="5"/>
      <c r="JCG1" s="5"/>
      <c r="JCH1" s="5"/>
      <c r="JCI1" s="5"/>
      <c r="JCK1" s="5"/>
      <c r="JCL1" s="5"/>
      <c r="JCM1" s="5"/>
      <c r="JCO1" s="5"/>
      <c r="JCP1" s="5"/>
      <c r="JCQ1" s="5"/>
      <c r="JCS1" s="5"/>
      <c r="JCT1" s="5"/>
      <c r="JCU1" s="5"/>
      <c r="JCW1" s="5"/>
      <c r="JCX1" s="5"/>
      <c r="JCY1" s="5"/>
      <c r="JDA1" s="5"/>
      <c r="JDB1" s="5"/>
      <c r="JDC1" s="5"/>
      <c r="JDE1" s="5"/>
      <c r="JDF1" s="5"/>
      <c r="JDG1" s="5"/>
      <c r="JDI1" s="5"/>
      <c r="JDJ1" s="5"/>
      <c r="JDK1" s="5"/>
      <c r="JDM1" s="5"/>
      <c r="JDN1" s="5"/>
      <c r="JDO1" s="5"/>
      <c r="JDQ1" s="5"/>
      <c r="JDR1" s="5"/>
      <c r="JDS1" s="5"/>
      <c r="JDU1" s="5"/>
      <c r="JDV1" s="5"/>
      <c r="JDW1" s="5"/>
      <c r="JDY1" s="5"/>
      <c r="JDZ1" s="5"/>
      <c r="JEA1" s="5"/>
      <c r="JEC1" s="5"/>
      <c r="JED1" s="5"/>
      <c r="JEE1" s="5"/>
      <c r="JEG1" s="5"/>
      <c r="JEH1" s="5"/>
      <c r="JEI1" s="5"/>
      <c r="JEK1" s="5"/>
      <c r="JEL1" s="5"/>
      <c r="JEM1" s="5"/>
      <c r="JEO1" s="5"/>
      <c r="JEP1" s="5"/>
      <c r="JEQ1" s="5"/>
      <c r="JES1" s="5"/>
      <c r="JET1" s="5"/>
      <c r="JEU1" s="5"/>
      <c r="JEW1" s="5"/>
      <c r="JEX1" s="5"/>
      <c r="JEY1" s="5"/>
      <c r="JFA1" s="5"/>
      <c r="JFB1" s="5"/>
      <c r="JFC1" s="5"/>
      <c r="JFE1" s="5"/>
      <c r="JFF1" s="5"/>
      <c r="JFG1" s="5"/>
      <c r="JFI1" s="5"/>
      <c r="JFJ1" s="5"/>
      <c r="JFK1" s="5"/>
      <c r="JFM1" s="5"/>
      <c r="JFN1" s="5"/>
      <c r="JFO1" s="5"/>
      <c r="JFQ1" s="5"/>
      <c r="JFR1" s="5"/>
      <c r="JFS1" s="5"/>
      <c r="JFU1" s="5"/>
      <c r="JFV1" s="5"/>
      <c r="JFW1" s="5"/>
      <c r="JFY1" s="5"/>
      <c r="JFZ1" s="5"/>
      <c r="JGA1" s="5"/>
      <c r="JGC1" s="5"/>
      <c r="JGD1" s="5"/>
      <c r="JGE1" s="5"/>
      <c r="JGG1" s="5"/>
      <c r="JGH1" s="5"/>
      <c r="JGI1" s="5"/>
      <c r="JGK1" s="5"/>
      <c r="JGL1" s="5"/>
      <c r="JGM1" s="5"/>
      <c r="JGO1" s="5"/>
      <c r="JGP1" s="5"/>
      <c r="JGQ1" s="5"/>
      <c r="JGS1" s="5"/>
      <c r="JGT1" s="5"/>
      <c r="JGU1" s="5"/>
      <c r="JGW1" s="5"/>
      <c r="JGX1" s="5"/>
      <c r="JGY1" s="5"/>
      <c r="JHA1" s="5"/>
      <c r="JHB1" s="5"/>
      <c r="JHC1" s="5"/>
      <c r="JHE1" s="5"/>
      <c r="JHF1" s="5"/>
      <c r="JHG1" s="5"/>
      <c r="JHI1" s="5"/>
      <c r="JHJ1" s="5"/>
      <c r="JHK1" s="5"/>
      <c r="JHM1" s="5"/>
      <c r="JHN1" s="5"/>
      <c r="JHO1" s="5"/>
      <c r="JHQ1" s="5"/>
      <c r="JHR1" s="5"/>
      <c r="JHS1" s="5"/>
      <c r="JHU1" s="5"/>
      <c r="JHV1" s="5"/>
      <c r="JHW1" s="5"/>
      <c r="JHY1" s="5"/>
      <c r="JHZ1" s="5"/>
      <c r="JIA1" s="5"/>
      <c r="JIC1" s="5"/>
      <c r="JID1" s="5"/>
      <c r="JIE1" s="5"/>
      <c r="JIG1" s="5"/>
      <c r="JIH1" s="5"/>
      <c r="JII1" s="5"/>
      <c r="JIK1" s="5"/>
      <c r="JIL1" s="5"/>
      <c r="JIM1" s="5"/>
      <c r="JIO1" s="5"/>
      <c r="JIP1" s="5"/>
      <c r="JIQ1" s="5"/>
      <c r="JIS1" s="5"/>
      <c r="JIT1" s="5"/>
      <c r="JIU1" s="5"/>
      <c r="JIW1" s="5"/>
      <c r="JIX1" s="5"/>
      <c r="JIY1" s="5"/>
      <c r="JJA1" s="5"/>
      <c r="JJB1" s="5"/>
      <c r="JJC1" s="5"/>
      <c r="JJE1" s="5"/>
      <c r="JJF1" s="5"/>
      <c r="JJG1" s="5"/>
      <c r="JJI1" s="5"/>
      <c r="JJJ1" s="5"/>
      <c r="JJK1" s="5"/>
      <c r="JJM1" s="5"/>
      <c r="JJN1" s="5"/>
      <c r="JJO1" s="5"/>
      <c r="JJQ1" s="5"/>
      <c r="JJR1" s="5"/>
      <c r="JJS1" s="5"/>
      <c r="JJU1" s="5"/>
      <c r="JJV1" s="5"/>
      <c r="JJW1" s="5"/>
      <c r="JJY1" s="5"/>
      <c r="JJZ1" s="5"/>
      <c r="JKA1" s="5"/>
      <c r="JKC1" s="5"/>
      <c r="JKD1" s="5"/>
      <c r="JKE1" s="5"/>
      <c r="JKG1" s="5"/>
      <c r="JKH1" s="5"/>
      <c r="JKI1" s="5"/>
      <c r="JKK1" s="5"/>
      <c r="JKL1" s="5"/>
      <c r="JKM1" s="5"/>
      <c r="JKO1" s="5"/>
      <c r="JKP1" s="5"/>
      <c r="JKQ1" s="5"/>
      <c r="JKS1" s="5"/>
      <c r="JKT1" s="5"/>
      <c r="JKU1" s="5"/>
      <c r="JKW1" s="5"/>
      <c r="JKX1" s="5"/>
      <c r="JKY1" s="5"/>
      <c r="JLA1" s="5"/>
      <c r="JLB1" s="5"/>
      <c r="JLC1" s="5"/>
      <c r="JLE1" s="5"/>
      <c r="JLF1" s="5"/>
      <c r="JLG1" s="5"/>
      <c r="JLI1" s="5"/>
      <c r="JLJ1" s="5"/>
      <c r="JLK1" s="5"/>
      <c r="JLM1" s="5"/>
      <c r="JLN1" s="5"/>
      <c r="JLO1" s="5"/>
      <c r="JLQ1" s="5"/>
      <c r="JLR1" s="5"/>
      <c r="JLS1" s="5"/>
      <c r="JLU1" s="5"/>
      <c r="JLV1" s="5"/>
      <c r="JLW1" s="5"/>
      <c r="JLY1" s="5"/>
      <c r="JLZ1" s="5"/>
      <c r="JMA1" s="5"/>
      <c r="JMC1" s="5"/>
      <c r="JMD1" s="5"/>
      <c r="JME1" s="5"/>
      <c r="JMG1" s="5"/>
      <c r="JMH1" s="5"/>
      <c r="JMI1" s="5"/>
      <c r="JMK1" s="5"/>
      <c r="JML1" s="5"/>
      <c r="JMM1" s="5"/>
      <c r="JMO1" s="5"/>
      <c r="JMP1" s="5"/>
      <c r="JMQ1" s="5"/>
      <c r="JMS1" s="5"/>
      <c r="JMT1" s="5"/>
      <c r="JMU1" s="5"/>
      <c r="JMW1" s="5"/>
      <c r="JMX1" s="5"/>
      <c r="JMY1" s="5"/>
      <c r="JNA1" s="5"/>
      <c r="JNB1" s="5"/>
      <c r="JNC1" s="5"/>
      <c r="JNE1" s="5"/>
      <c r="JNF1" s="5"/>
      <c r="JNG1" s="5"/>
      <c r="JNI1" s="5"/>
      <c r="JNJ1" s="5"/>
      <c r="JNK1" s="5"/>
      <c r="JNM1" s="5"/>
      <c r="JNN1" s="5"/>
      <c r="JNO1" s="5"/>
      <c r="JNQ1" s="5"/>
      <c r="JNR1" s="5"/>
      <c r="JNS1" s="5"/>
      <c r="JNU1" s="5"/>
      <c r="JNV1" s="5"/>
      <c r="JNW1" s="5"/>
      <c r="JNY1" s="5"/>
      <c r="JNZ1" s="5"/>
      <c r="JOA1" s="5"/>
      <c r="JOC1" s="5"/>
      <c r="JOD1" s="5"/>
      <c r="JOE1" s="5"/>
      <c r="JOG1" s="5"/>
      <c r="JOH1" s="5"/>
      <c r="JOI1" s="5"/>
      <c r="JOK1" s="5"/>
      <c r="JOL1" s="5"/>
      <c r="JOM1" s="5"/>
      <c r="JOO1" s="5"/>
      <c r="JOP1" s="5"/>
      <c r="JOQ1" s="5"/>
      <c r="JOS1" s="5"/>
      <c r="JOT1" s="5"/>
      <c r="JOU1" s="5"/>
      <c r="JOW1" s="5"/>
      <c r="JOX1" s="5"/>
      <c r="JOY1" s="5"/>
      <c r="JPA1" s="5"/>
      <c r="JPB1" s="5"/>
      <c r="JPC1" s="5"/>
      <c r="JPE1" s="5"/>
      <c r="JPF1" s="5"/>
      <c r="JPG1" s="5"/>
      <c r="JPI1" s="5"/>
      <c r="JPJ1" s="5"/>
      <c r="JPK1" s="5"/>
      <c r="JPM1" s="5"/>
      <c r="JPN1" s="5"/>
      <c r="JPO1" s="5"/>
      <c r="JPQ1" s="5"/>
      <c r="JPR1" s="5"/>
      <c r="JPS1" s="5"/>
      <c r="JPU1" s="5"/>
      <c r="JPV1" s="5"/>
      <c r="JPW1" s="5"/>
      <c r="JPY1" s="5"/>
      <c r="JPZ1" s="5"/>
      <c r="JQA1" s="5"/>
      <c r="JQC1" s="5"/>
      <c r="JQD1" s="5"/>
      <c r="JQE1" s="5"/>
      <c r="JQG1" s="5"/>
      <c r="JQH1" s="5"/>
      <c r="JQI1" s="5"/>
      <c r="JQK1" s="5"/>
      <c r="JQL1" s="5"/>
      <c r="JQM1" s="5"/>
      <c r="JQO1" s="5"/>
      <c r="JQP1" s="5"/>
      <c r="JQQ1" s="5"/>
      <c r="JQS1" s="5"/>
      <c r="JQT1" s="5"/>
      <c r="JQU1" s="5"/>
      <c r="JQW1" s="5"/>
      <c r="JQX1" s="5"/>
      <c r="JQY1" s="5"/>
      <c r="JRA1" s="5"/>
      <c r="JRB1" s="5"/>
      <c r="JRC1" s="5"/>
      <c r="JRE1" s="5"/>
      <c r="JRF1" s="5"/>
      <c r="JRG1" s="5"/>
      <c r="JRI1" s="5"/>
      <c r="JRJ1" s="5"/>
      <c r="JRK1" s="5"/>
      <c r="JRM1" s="5"/>
      <c r="JRN1" s="5"/>
      <c r="JRO1" s="5"/>
      <c r="JRQ1" s="5"/>
      <c r="JRR1" s="5"/>
      <c r="JRS1" s="5"/>
      <c r="JRU1" s="5"/>
      <c r="JRV1" s="5"/>
      <c r="JRW1" s="5"/>
      <c r="JRY1" s="5"/>
      <c r="JRZ1" s="5"/>
      <c r="JSA1" s="5"/>
      <c r="JSC1" s="5"/>
      <c r="JSD1" s="5"/>
      <c r="JSE1" s="5"/>
      <c r="JSG1" s="5"/>
      <c r="JSH1" s="5"/>
      <c r="JSI1" s="5"/>
      <c r="JSK1" s="5"/>
      <c r="JSL1" s="5"/>
      <c r="JSM1" s="5"/>
      <c r="JSO1" s="5"/>
      <c r="JSP1" s="5"/>
      <c r="JSQ1" s="5"/>
      <c r="JSS1" s="5"/>
      <c r="JST1" s="5"/>
      <c r="JSU1" s="5"/>
      <c r="JSW1" s="5"/>
      <c r="JSX1" s="5"/>
      <c r="JSY1" s="5"/>
      <c r="JTA1" s="5"/>
      <c r="JTB1" s="5"/>
      <c r="JTC1" s="5"/>
      <c r="JTE1" s="5"/>
      <c r="JTF1" s="5"/>
      <c r="JTG1" s="5"/>
      <c r="JTI1" s="5"/>
      <c r="JTJ1" s="5"/>
      <c r="JTK1" s="5"/>
      <c r="JTM1" s="5"/>
      <c r="JTN1" s="5"/>
      <c r="JTO1" s="5"/>
      <c r="JTQ1" s="5"/>
      <c r="JTR1" s="5"/>
      <c r="JTS1" s="5"/>
      <c r="JTU1" s="5"/>
      <c r="JTV1" s="5"/>
      <c r="JTW1" s="5"/>
      <c r="JTY1" s="5"/>
      <c r="JTZ1" s="5"/>
      <c r="JUA1" s="5"/>
      <c r="JUC1" s="5"/>
      <c r="JUD1" s="5"/>
      <c r="JUE1" s="5"/>
      <c r="JUG1" s="5"/>
      <c r="JUH1" s="5"/>
      <c r="JUI1" s="5"/>
      <c r="JUK1" s="5"/>
      <c r="JUL1" s="5"/>
      <c r="JUM1" s="5"/>
      <c r="JUO1" s="5"/>
      <c r="JUP1" s="5"/>
      <c r="JUQ1" s="5"/>
      <c r="JUS1" s="5"/>
      <c r="JUT1" s="5"/>
      <c r="JUU1" s="5"/>
      <c r="JUW1" s="5"/>
      <c r="JUX1" s="5"/>
      <c r="JUY1" s="5"/>
      <c r="JVA1" s="5"/>
      <c r="JVB1" s="5"/>
      <c r="JVC1" s="5"/>
      <c r="JVE1" s="5"/>
      <c r="JVF1" s="5"/>
      <c r="JVG1" s="5"/>
      <c r="JVI1" s="5"/>
      <c r="JVJ1" s="5"/>
      <c r="JVK1" s="5"/>
      <c r="JVM1" s="5"/>
      <c r="JVN1" s="5"/>
      <c r="JVO1" s="5"/>
      <c r="JVQ1" s="5"/>
      <c r="JVR1" s="5"/>
      <c r="JVS1" s="5"/>
      <c r="JVU1" s="5"/>
      <c r="JVV1" s="5"/>
      <c r="JVW1" s="5"/>
      <c r="JVY1" s="5"/>
      <c r="JVZ1" s="5"/>
      <c r="JWA1" s="5"/>
      <c r="JWC1" s="5"/>
      <c r="JWD1" s="5"/>
      <c r="JWE1" s="5"/>
      <c r="JWG1" s="5"/>
      <c r="JWH1" s="5"/>
      <c r="JWI1" s="5"/>
      <c r="JWK1" s="5"/>
      <c r="JWL1" s="5"/>
      <c r="JWM1" s="5"/>
      <c r="JWO1" s="5"/>
      <c r="JWP1" s="5"/>
      <c r="JWQ1" s="5"/>
      <c r="JWS1" s="5"/>
      <c r="JWT1" s="5"/>
      <c r="JWU1" s="5"/>
      <c r="JWW1" s="5"/>
      <c r="JWX1" s="5"/>
      <c r="JWY1" s="5"/>
      <c r="JXA1" s="5"/>
      <c r="JXB1" s="5"/>
      <c r="JXC1" s="5"/>
      <c r="JXE1" s="5"/>
      <c r="JXF1" s="5"/>
      <c r="JXG1" s="5"/>
      <c r="JXI1" s="5"/>
      <c r="JXJ1" s="5"/>
      <c r="JXK1" s="5"/>
      <c r="JXM1" s="5"/>
      <c r="JXN1" s="5"/>
      <c r="JXO1" s="5"/>
      <c r="JXQ1" s="5"/>
      <c r="JXR1" s="5"/>
      <c r="JXS1" s="5"/>
      <c r="JXU1" s="5"/>
      <c r="JXV1" s="5"/>
      <c r="JXW1" s="5"/>
      <c r="JXY1" s="5"/>
      <c r="JXZ1" s="5"/>
      <c r="JYA1" s="5"/>
      <c r="JYC1" s="5"/>
      <c r="JYD1" s="5"/>
      <c r="JYE1" s="5"/>
      <c r="JYG1" s="5"/>
      <c r="JYH1" s="5"/>
      <c r="JYI1" s="5"/>
      <c r="JYK1" s="5"/>
      <c r="JYL1" s="5"/>
      <c r="JYM1" s="5"/>
      <c r="JYO1" s="5"/>
      <c r="JYP1" s="5"/>
      <c r="JYQ1" s="5"/>
      <c r="JYS1" s="5"/>
      <c r="JYT1" s="5"/>
      <c r="JYU1" s="5"/>
      <c r="JYW1" s="5"/>
      <c r="JYX1" s="5"/>
      <c r="JYY1" s="5"/>
      <c r="JZA1" s="5"/>
      <c r="JZB1" s="5"/>
      <c r="JZC1" s="5"/>
      <c r="JZE1" s="5"/>
      <c r="JZF1" s="5"/>
      <c r="JZG1" s="5"/>
      <c r="JZI1" s="5"/>
      <c r="JZJ1" s="5"/>
      <c r="JZK1" s="5"/>
      <c r="JZM1" s="5"/>
      <c r="JZN1" s="5"/>
      <c r="JZO1" s="5"/>
      <c r="JZQ1" s="5"/>
      <c r="JZR1" s="5"/>
      <c r="JZS1" s="5"/>
      <c r="JZU1" s="5"/>
      <c r="JZV1" s="5"/>
      <c r="JZW1" s="5"/>
      <c r="JZY1" s="5"/>
      <c r="JZZ1" s="5"/>
      <c r="KAA1" s="5"/>
      <c r="KAC1" s="5"/>
      <c r="KAD1" s="5"/>
      <c r="KAE1" s="5"/>
      <c r="KAG1" s="5"/>
      <c r="KAH1" s="5"/>
      <c r="KAI1" s="5"/>
      <c r="KAK1" s="5"/>
      <c r="KAL1" s="5"/>
      <c r="KAM1" s="5"/>
      <c r="KAO1" s="5"/>
      <c r="KAP1" s="5"/>
      <c r="KAQ1" s="5"/>
      <c r="KAS1" s="5"/>
      <c r="KAT1" s="5"/>
      <c r="KAU1" s="5"/>
      <c r="KAW1" s="5"/>
      <c r="KAX1" s="5"/>
      <c r="KAY1" s="5"/>
      <c r="KBA1" s="5"/>
      <c r="KBB1" s="5"/>
      <c r="KBC1" s="5"/>
      <c r="KBE1" s="5"/>
      <c r="KBF1" s="5"/>
      <c r="KBG1" s="5"/>
      <c r="KBI1" s="5"/>
      <c r="KBJ1" s="5"/>
      <c r="KBK1" s="5"/>
      <c r="KBM1" s="5"/>
      <c r="KBN1" s="5"/>
      <c r="KBO1" s="5"/>
      <c r="KBQ1" s="5"/>
      <c r="KBR1" s="5"/>
      <c r="KBS1" s="5"/>
      <c r="KBU1" s="5"/>
      <c r="KBV1" s="5"/>
      <c r="KBW1" s="5"/>
      <c r="KBY1" s="5"/>
      <c r="KBZ1" s="5"/>
      <c r="KCA1" s="5"/>
      <c r="KCC1" s="5"/>
      <c r="KCD1" s="5"/>
      <c r="KCE1" s="5"/>
      <c r="KCG1" s="5"/>
      <c r="KCH1" s="5"/>
      <c r="KCI1" s="5"/>
      <c r="KCK1" s="5"/>
      <c r="KCL1" s="5"/>
      <c r="KCM1" s="5"/>
      <c r="KCO1" s="5"/>
      <c r="KCP1" s="5"/>
      <c r="KCQ1" s="5"/>
      <c r="KCS1" s="5"/>
      <c r="KCT1" s="5"/>
      <c r="KCU1" s="5"/>
      <c r="KCW1" s="5"/>
      <c r="KCX1" s="5"/>
      <c r="KCY1" s="5"/>
      <c r="KDA1" s="5"/>
      <c r="KDB1" s="5"/>
      <c r="KDC1" s="5"/>
      <c r="KDE1" s="5"/>
      <c r="KDF1" s="5"/>
      <c r="KDG1" s="5"/>
      <c r="KDI1" s="5"/>
      <c r="KDJ1" s="5"/>
      <c r="KDK1" s="5"/>
      <c r="KDM1" s="5"/>
      <c r="KDN1" s="5"/>
      <c r="KDO1" s="5"/>
      <c r="KDQ1" s="5"/>
      <c r="KDR1" s="5"/>
      <c r="KDS1" s="5"/>
      <c r="KDU1" s="5"/>
      <c r="KDV1" s="5"/>
      <c r="KDW1" s="5"/>
      <c r="KDY1" s="5"/>
      <c r="KDZ1" s="5"/>
      <c r="KEA1" s="5"/>
      <c r="KEC1" s="5"/>
      <c r="KED1" s="5"/>
      <c r="KEE1" s="5"/>
      <c r="KEG1" s="5"/>
      <c r="KEH1" s="5"/>
      <c r="KEI1" s="5"/>
      <c r="KEK1" s="5"/>
      <c r="KEL1" s="5"/>
      <c r="KEM1" s="5"/>
      <c r="KEO1" s="5"/>
      <c r="KEP1" s="5"/>
      <c r="KEQ1" s="5"/>
      <c r="KES1" s="5"/>
      <c r="KET1" s="5"/>
      <c r="KEU1" s="5"/>
      <c r="KEW1" s="5"/>
      <c r="KEX1" s="5"/>
      <c r="KEY1" s="5"/>
      <c r="KFA1" s="5"/>
      <c r="KFB1" s="5"/>
      <c r="KFC1" s="5"/>
      <c r="KFE1" s="5"/>
      <c r="KFF1" s="5"/>
      <c r="KFG1" s="5"/>
      <c r="KFI1" s="5"/>
      <c r="KFJ1" s="5"/>
      <c r="KFK1" s="5"/>
      <c r="KFM1" s="5"/>
      <c r="KFN1" s="5"/>
      <c r="KFO1" s="5"/>
      <c r="KFQ1" s="5"/>
      <c r="KFR1" s="5"/>
      <c r="KFS1" s="5"/>
      <c r="KFU1" s="5"/>
      <c r="KFV1" s="5"/>
      <c r="KFW1" s="5"/>
      <c r="KFY1" s="5"/>
      <c r="KFZ1" s="5"/>
      <c r="KGA1" s="5"/>
      <c r="KGC1" s="5"/>
      <c r="KGD1" s="5"/>
      <c r="KGE1" s="5"/>
      <c r="KGG1" s="5"/>
      <c r="KGH1" s="5"/>
      <c r="KGI1" s="5"/>
      <c r="KGK1" s="5"/>
      <c r="KGL1" s="5"/>
      <c r="KGM1" s="5"/>
      <c r="KGO1" s="5"/>
      <c r="KGP1" s="5"/>
      <c r="KGQ1" s="5"/>
      <c r="KGS1" s="5"/>
      <c r="KGT1" s="5"/>
      <c r="KGU1" s="5"/>
      <c r="KGW1" s="5"/>
      <c r="KGX1" s="5"/>
      <c r="KGY1" s="5"/>
      <c r="KHA1" s="5"/>
      <c r="KHB1" s="5"/>
      <c r="KHC1" s="5"/>
      <c r="KHE1" s="5"/>
      <c r="KHF1" s="5"/>
      <c r="KHG1" s="5"/>
      <c r="KHI1" s="5"/>
      <c r="KHJ1" s="5"/>
      <c r="KHK1" s="5"/>
      <c r="KHM1" s="5"/>
      <c r="KHN1" s="5"/>
      <c r="KHO1" s="5"/>
      <c r="KHQ1" s="5"/>
      <c r="KHR1" s="5"/>
      <c r="KHS1" s="5"/>
      <c r="KHU1" s="5"/>
      <c r="KHV1" s="5"/>
      <c r="KHW1" s="5"/>
      <c r="KHY1" s="5"/>
      <c r="KHZ1" s="5"/>
      <c r="KIA1" s="5"/>
      <c r="KIC1" s="5"/>
      <c r="KID1" s="5"/>
      <c r="KIE1" s="5"/>
      <c r="KIG1" s="5"/>
      <c r="KIH1" s="5"/>
      <c r="KII1" s="5"/>
      <c r="KIK1" s="5"/>
      <c r="KIL1" s="5"/>
      <c r="KIM1" s="5"/>
      <c r="KIO1" s="5"/>
      <c r="KIP1" s="5"/>
      <c r="KIQ1" s="5"/>
      <c r="KIS1" s="5"/>
      <c r="KIT1" s="5"/>
      <c r="KIU1" s="5"/>
      <c r="KIW1" s="5"/>
      <c r="KIX1" s="5"/>
      <c r="KIY1" s="5"/>
      <c r="KJA1" s="5"/>
      <c r="KJB1" s="5"/>
      <c r="KJC1" s="5"/>
      <c r="KJE1" s="5"/>
      <c r="KJF1" s="5"/>
      <c r="KJG1" s="5"/>
      <c r="KJI1" s="5"/>
      <c r="KJJ1" s="5"/>
      <c r="KJK1" s="5"/>
      <c r="KJM1" s="5"/>
      <c r="KJN1" s="5"/>
      <c r="KJO1" s="5"/>
      <c r="KJQ1" s="5"/>
      <c r="KJR1" s="5"/>
      <c r="KJS1" s="5"/>
      <c r="KJU1" s="5"/>
      <c r="KJV1" s="5"/>
      <c r="KJW1" s="5"/>
      <c r="KJY1" s="5"/>
      <c r="KJZ1" s="5"/>
      <c r="KKA1" s="5"/>
      <c r="KKC1" s="5"/>
      <c r="KKD1" s="5"/>
      <c r="KKE1" s="5"/>
      <c r="KKG1" s="5"/>
      <c r="KKH1" s="5"/>
      <c r="KKI1" s="5"/>
      <c r="KKK1" s="5"/>
      <c r="KKL1" s="5"/>
      <c r="KKM1" s="5"/>
      <c r="KKO1" s="5"/>
      <c r="KKP1" s="5"/>
      <c r="KKQ1" s="5"/>
      <c r="KKS1" s="5"/>
      <c r="KKT1" s="5"/>
      <c r="KKU1" s="5"/>
      <c r="KKW1" s="5"/>
      <c r="KKX1" s="5"/>
      <c r="KKY1" s="5"/>
      <c r="KLA1" s="5"/>
      <c r="KLB1" s="5"/>
      <c r="KLC1" s="5"/>
      <c r="KLE1" s="5"/>
      <c r="KLF1" s="5"/>
      <c r="KLG1" s="5"/>
      <c r="KLI1" s="5"/>
      <c r="KLJ1" s="5"/>
      <c r="KLK1" s="5"/>
      <c r="KLM1" s="5"/>
      <c r="KLN1" s="5"/>
      <c r="KLO1" s="5"/>
      <c r="KLQ1" s="5"/>
      <c r="KLR1" s="5"/>
      <c r="KLS1" s="5"/>
      <c r="KLU1" s="5"/>
      <c r="KLV1" s="5"/>
      <c r="KLW1" s="5"/>
      <c r="KLY1" s="5"/>
      <c r="KLZ1" s="5"/>
      <c r="KMA1" s="5"/>
      <c r="KMC1" s="5"/>
      <c r="KMD1" s="5"/>
      <c r="KME1" s="5"/>
      <c r="KMG1" s="5"/>
      <c r="KMH1" s="5"/>
      <c r="KMI1" s="5"/>
      <c r="KMK1" s="5"/>
      <c r="KML1" s="5"/>
      <c r="KMM1" s="5"/>
      <c r="KMO1" s="5"/>
      <c r="KMP1" s="5"/>
      <c r="KMQ1" s="5"/>
      <c r="KMS1" s="5"/>
      <c r="KMT1" s="5"/>
      <c r="KMU1" s="5"/>
      <c r="KMW1" s="5"/>
      <c r="KMX1" s="5"/>
      <c r="KMY1" s="5"/>
      <c r="KNA1" s="5"/>
      <c r="KNB1" s="5"/>
      <c r="KNC1" s="5"/>
      <c r="KNE1" s="5"/>
      <c r="KNF1" s="5"/>
      <c r="KNG1" s="5"/>
      <c r="KNI1" s="5"/>
      <c r="KNJ1" s="5"/>
      <c r="KNK1" s="5"/>
      <c r="KNM1" s="5"/>
      <c r="KNN1" s="5"/>
      <c r="KNO1" s="5"/>
      <c r="KNQ1" s="5"/>
      <c r="KNR1" s="5"/>
      <c r="KNS1" s="5"/>
      <c r="KNU1" s="5"/>
      <c r="KNV1" s="5"/>
      <c r="KNW1" s="5"/>
      <c r="KNY1" s="5"/>
      <c r="KNZ1" s="5"/>
      <c r="KOA1" s="5"/>
      <c r="KOC1" s="5"/>
      <c r="KOD1" s="5"/>
      <c r="KOE1" s="5"/>
      <c r="KOG1" s="5"/>
      <c r="KOH1" s="5"/>
      <c r="KOI1" s="5"/>
      <c r="KOK1" s="5"/>
      <c r="KOL1" s="5"/>
      <c r="KOM1" s="5"/>
      <c r="KOO1" s="5"/>
      <c r="KOP1" s="5"/>
      <c r="KOQ1" s="5"/>
      <c r="KOS1" s="5"/>
      <c r="KOT1" s="5"/>
      <c r="KOU1" s="5"/>
      <c r="KOW1" s="5"/>
      <c r="KOX1" s="5"/>
      <c r="KOY1" s="5"/>
      <c r="KPA1" s="5"/>
      <c r="KPB1" s="5"/>
      <c r="KPC1" s="5"/>
      <c r="KPE1" s="5"/>
      <c r="KPF1" s="5"/>
      <c r="KPG1" s="5"/>
      <c r="KPI1" s="5"/>
      <c r="KPJ1" s="5"/>
      <c r="KPK1" s="5"/>
      <c r="KPM1" s="5"/>
      <c r="KPN1" s="5"/>
      <c r="KPO1" s="5"/>
      <c r="KPQ1" s="5"/>
      <c r="KPR1" s="5"/>
      <c r="KPS1" s="5"/>
      <c r="KPU1" s="5"/>
      <c r="KPV1" s="5"/>
      <c r="KPW1" s="5"/>
      <c r="KPY1" s="5"/>
      <c r="KPZ1" s="5"/>
      <c r="KQA1" s="5"/>
      <c r="KQC1" s="5"/>
      <c r="KQD1" s="5"/>
      <c r="KQE1" s="5"/>
      <c r="KQG1" s="5"/>
      <c r="KQH1" s="5"/>
      <c r="KQI1" s="5"/>
      <c r="KQK1" s="5"/>
      <c r="KQL1" s="5"/>
      <c r="KQM1" s="5"/>
      <c r="KQO1" s="5"/>
      <c r="KQP1" s="5"/>
      <c r="KQQ1" s="5"/>
      <c r="KQS1" s="5"/>
      <c r="KQT1" s="5"/>
      <c r="KQU1" s="5"/>
      <c r="KQW1" s="5"/>
      <c r="KQX1" s="5"/>
      <c r="KQY1" s="5"/>
      <c r="KRA1" s="5"/>
      <c r="KRB1" s="5"/>
      <c r="KRC1" s="5"/>
      <c r="KRE1" s="5"/>
      <c r="KRF1" s="5"/>
      <c r="KRG1" s="5"/>
      <c r="KRI1" s="5"/>
      <c r="KRJ1" s="5"/>
      <c r="KRK1" s="5"/>
      <c r="KRM1" s="5"/>
      <c r="KRN1" s="5"/>
      <c r="KRO1" s="5"/>
      <c r="KRQ1" s="5"/>
      <c r="KRR1" s="5"/>
      <c r="KRS1" s="5"/>
      <c r="KRU1" s="5"/>
      <c r="KRV1" s="5"/>
      <c r="KRW1" s="5"/>
      <c r="KRY1" s="5"/>
      <c r="KRZ1" s="5"/>
      <c r="KSA1" s="5"/>
      <c r="KSC1" s="5"/>
      <c r="KSD1" s="5"/>
      <c r="KSE1" s="5"/>
      <c r="KSG1" s="5"/>
      <c r="KSH1" s="5"/>
      <c r="KSI1" s="5"/>
      <c r="KSK1" s="5"/>
      <c r="KSL1" s="5"/>
      <c r="KSM1" s="5"/>
      <c r="KSO1" s="5"/>
      <c r="KSP1" s="5"/>
      <c r="KSQ1" s="5"/>
      <c r="KSS1" s="5"/>
      <c r="KST1" s="5"/>
      <c r="KSU1" s="5"/>
      <c r="KSW1" s="5"/>
      <c r="KSX1" s="5"/>
      <c r="KSY1" s="5"/>
      <c r="KTA1" s="5"/>
      <c r="KTB1" s="5"/>
      <c r="KTC1" s="5"/>
      <c r="KTE1" s="5"/>
      <c r="KTF1" s="5"/>
      <c r="KTG1" s="5"/>
      <c r="KTI1" s="5"/>
      <c r="KTJ1" s="5"/>
      <c r="KTK1" s="5"/>
      <c r="KTM1" s="5"/>
      <c r="KTN1" s="5"/>
      <c r="KTO1" s="5"/>
      <c r="KTQ1" s="5"/>
      <c r="KTR1" s="5"/>
      <c r="KTS1" s="5"/>
      <c r="KTU1" s="5"/>
      <c r="KTV1" s="5"/>
      <c r="KTW1" s="5"/>
      <c r="KTY1" s="5"/>
      <c r="KTZ1" s="5"/>
      <c r="KUA1" s="5"/>
      <c r="KUC1" s="5"/>
      <c r="KUD1" s="5"/>
      <c r="KUE1" s="5"/>
      <c r="KUG1" s="5"/>
      <c r="KUH1" s="5"/>
      <c r="KUI1" s="5"/>
      <c r="KUK1" s="5"/>
      <c r="KUL1" s="5"/>
      <c r="KUM1" s="5"/>
      <c r="KUO1" s="5"/>
      <c r="KUP1" s="5"/>
      <c r="KUQ1" s="5"/>
      <c r="KUS1" s="5"/>
      <c r="KUT1" s="5"/>
      <c r="KUU1" s="5"/>
      <c r="KUW1" s="5"/>
      <c r="KUX1" s="5"/>
      <c r="KUY1" s="5"/>
      <c r="KVA1" s="5"/>
      <c r="KVB1" s="5"/>
      <c r="KVC1" s="5"/>
      <c r="KVE1" s="5"/>
      <c r="KVF1" s="5"/>
      <c r="KVG1" s="5"/>
      <c r="KVI1" s="5"/>
      <c r="KVJ1" s="5"/>
      <c r="KVK1" s="5"/>
      <c r="KVM1" s="5"/>
      <c r="KVN1" s="5"/>
      <c r="KVO1" s="5"/>
      <c r="KVQ1" s="5"/>
      <c r="KVR1" s="5"/>
      <c r="KVS1" s="5"/>
      <c r="KVU1" s="5"/>
      <c r="KVV1" s="5"/>
      <c r="KVW1" s="5"/>
      <c r="KVY1" s="5"/>
      <c r="KVZ1" s="5"/>
      <c r="KWA1" s="5"/>
      <c r="KWC1" s="5"/>
      <c r="KWD1" s="5"/>
      <c r="KWE1" s="5"/>
      <c r="KWG1" s="5"/>
      <c r="KWH1" s="5"/>
      <c r="KWI1" s="5"/>
      <c r="KWK1" s="5"/>
      <c r="KWL1" s="5"/>
      <c r="KWM1" s="5"/>
      <c r="KWO1" s="5"/>
      <c r="KWP1" s="5"/>
      <c r="KWQ1" s="5"/>
      <c r="KWS1" s="5"/>
      <c r="KWT1" s="5"/>
      <c r="KWU1" s="5"/>
      <c r="KWW1" s="5"/>
      <c r="KWX1" s="5"/>
      <c r="KWY1" s="5"/>
      <c r="KXA1" s="5"/>
      <c r="KXB1" s="5"/>
      <c r="KXC1" s="5"/>
      <c r="KXE1" s="5"/>
      <c r="KXF1" s="5"/>
      <c r="KXG1" s="5"/>
      <c r="KXI1" s="5"/>
      <c r="KXJ1" s="5"/>
      <c r="KXK1" s="5"/>
      <c r="KXM1" s="5"/>
      <c r="KXN1" s="5"/>
      <c r="KXO1" s="5"/>
      <c r="KXQ1" s="5"/>
      <c r="KXR1" s="5"/>
      <c r="KXS1" s="5"/>
      <c r="KXU1" s="5"/>
      <c r="KXV1" s="5"/>
      <c r="KXW1" s="5"/>
      <c r="KXY1" s="5"/>
      <c r="KXZ1" s="5"/>
      <c r="KYA1" s="5"/>
      <c r="KYC1" s="5"/>
      <c r="KYD1" s="5"/>
      <c r="KYE1" s="5"/>
      <c r="KYG1" s="5"/>
      <c r="KYH1" s="5"/>
      <c r="KYI1" s="5"/>
      <c r="KYK1" s="5"/>
      <c r="KYL1" s="5"/>
      <c r="KYM1" s="5"/>
      <c r="KYO1" s="5"/>
      <c r="KYP1" s="5"/>
      <c r="KYQ1" s="5"/>
      <c r="KYS1" s="5"/>
      <c r="KYT1" s="5"/>
      <c r="KYU1" s="5"/>
      <c r="KYW1" s="5"/>
      <c r="KYX1" s="5"/>
      <c r="KYY1" s="5"/>
      <c r="KZA1" s="5"/>
      <c r="KZB1" s="5"/>
      <c r="KZC1" s="5"/>
      <c r="KZE1" s="5"/>
      <c r="KZF1" s="5"/>
      <c r="KZG1" s="5"/>
      <c r="KZI1" s="5"/>
      <c r="KZJ1" s="5"/>
      <c r="KZK1" s="5"/>
      <c r="KZM1" s="5"/>
      <c r="KZN1" s="5"/>
      <c r="KZO1" s="5"/>
      <c r="KZQ1" s="5"/>
      <c r="KZR1" s="5"/>
      <c r="KZS1" s="5"/>
      <c r="KZU1" s="5"/>
      <c r="KZV1" s="5"/>
      <c r="KZW1" s="5"/>
      <c r="KZY1" s="5"/>
      <c r="KZZ1" s="5"/>
      <c r="LAA1" s="5"/>
      <c r="LAC1" s="5"/>
      <c r="LAD1" s="5"/>
      <c r="LAE1" s="5"/>
      <c r="LAG1" s="5"/>
      <c r="LAH1" s="5"/>
      <c r="LAI1" s="5"/>
      <c r="LAK1" s="5"/>
      <c r="LAL1" s="5"/>
      <c r="LAM1" s="5"/>
      <c r="LAO1" s="5"/>
      <c r="LAP1" s="5"/>
      <c r="LAQ1" s="5"/>
      <c r="LAS1" s="5"/>
      <c r="LAT1" s="5"/>
      <c r="LAU1" s="5"/>
      <c r="LAW1" s="5"/>
      <c r="LAX1" s="5"/>
      <c r="LAY1" s="5"/>
      <c r="LBA1" s="5"/>
      <c r="LBB1" s="5"/>
      <c r="LBC1" s="5"/>
      <c r="LBE1" s="5"/>
      <c r="LBF1" s="5"/>
      <c r="LBG1" s="5"/>
      <c r="LBI1" s="5"/>
      <c r="LBJ1" s="5"/>
      <c r="LBK1" s="5"/>
      <c r="LBM1" s="5"/>
      <c r="LBN1" s="5"/>
      <c r="LBO1" s="5"/>
      <c r="LBQ1" s="5"/>
      <c r="LBR1" s="5"/>
      <c r="LBS1" s="5"/>
      <c r="LBU1" s="5"/>
      <c r="LBV1" s="5"/>
      <c r="LBW1" s="5"/>
      <c r="LBY1" s="5"/>
      <c r="LBZ1" s="5"/>
      <c r="LCA1" s="5"/>
      <c r="LCC1" s="5"/>
      <c r="LCD1" s="5"/>
      <c r="LCE1" s="5"/>
      <c r="LCG1" s="5"/>
      <c r="LCH1" s="5"/>
      <c r="LCI1" s="5"/>
      <c r="LCK1" s="5"/>
      <c r="LCL1" s="5"/>
      <c r="LCM1" s="5"/>
      <c r="LCO1" s="5"/>
      <c r="LCP1" s="5"/>
      <c r="LCQ1" s="5"/>
      <c r="LCS1" s="5"/>
      <c r="LCT1" s="5"/>
      <c r="LCU1" s="5"/>
      <c r="LCW1" s="5"/>
      <c r="LCX1" s="5"/>
      <c r="LCY1" s="5"/>
      <c r="LDA1" s="5"/>
      <c r="LDB1" s="5"/>
      <c r="LDC1" s="5"/>
      <c r="LDE1" s="5"/>
      <c r="LDF1" s="5"/>
      <c r="LDG1" s="5"/>
      <c r="LDI1" s="5"/>
      <c r="LDJ1" s="5"/>
      <c r="LDK1" s="5"/>
      <c r="LDM1" s="5"/>
      <c r="LDN1" s="5"/>
      <c r="LDO1" s="5"/>
      <c r="LDQ1" s="5"/>
      <c r="LDR1" s="5"/>
      <c r="LDS1" s="5"/>
      <c r="LDU1" s="5"/>
      <c r="LDV1" s="5"/>
      <c r="LDW1" s="5"/>
      <c r="LDY1" s="5"/>
      <c r="LDZ1" s="5"/>
      <c r="LEA1" s="5"/>
      <c r="LEC1" s="5"/>
      <c r="LED1" s="5"/>
      <c r="LEE1" s="5"/>
      <c r="LEG1" s="5"/>
      <c r="LEH1" s="5"/>
      <c r="LEI1" s="5"/>
      <c r="LEK1" s="5"/>
      <c r="LEL1" s="5"/>
      <c r="LEM1" s="5"/>
      <c r="LEO1" s="5"/>
      <c r="LEP1" s="5"/>
      <c r="LEQ1" s="5"/>
      <c r="LES1" s="5"/>
      <c r="LET1" s="5"/>
      <c r="LEU1" s="5"/>
      <c r="LEW1" s="5"/>
      <c r="LEX1" s="5"/>
      <c r="LEY1" s="5"/>
      <c r="LFA1" s="5"/>
      <c r="LFB1" s="5"/>
      <c r="LFC1" s="5"/>
      <c r="LFE1" s="5"/>
      <c r="LFF1" s="5"/>
      <c r="LFG1" s="5"/>
      <c r="LFI1" s="5"/>
      <c r="LFJ1" s="5"/>
      <c r="LFK1" s="5"/>
      <c r="LFM1" s="5"/>
      <c r="LFN1" s="5"/>
      <c r="LFO1" s="5"/>
      <c r="LFQ1" s="5"/>
      <c r="LFR1" s="5"/>
      <c r="LFS1" s="5"/>
      <c r="LFU1" s="5"/>
      <c r="LFV1" s="5"/>
      <c r="LFW1" s="5"/>
      <c r="LFY1" s="5"/>
      <c r="LFZ1" s="5"/>
      <c r="LGA1" s="5"/>
      <c r="LGC1" s="5"/>
      <c r="LGD1" s="5"/>
      <c r="LGE1" s="5"/>
      <c r="LGG1" s="5"/>
      <c r="LGH1" s="5"/>
      <c r="LGI1" s="5"/>
      <c r="LGK1" s="5"/>
      <c r="LGL1" s="5"/>
      <c r="LGM1" s="5"/>
      <c r="LGO1" s="5"/>
      <c r="LGP1" s="5"/>
      <c r="LGQ1" s="5"/>
      <c r="LGS1" s="5"/>
      <c r="LGT1" s="5"/>
      <c r="LGU1" s="5"/>
      <c r="LGW1" s="5"/>
      <c r="LGX1" s="5"/>
      <c r="LGY1" s="5"/>
      <c r="LHA1" s="5"/>
      <c r="LHB1" s="5"/>
      <c r="LHC1" s="5"/>
      <c r="LHE1" s="5"/>
      <c r="LHF1" s="5"/>
      <c r="LHG1" s="5"/>
      <c r="LHI1" s="5"/>
      <c r="LHJ1" s="5"/>
      <c r="LHK1" s="5"/>
      <c r="LHM1" s="5"/>
      <c r="LHN1" s="5"/>
      <c r="LHO1" s="5"/>
      <c r="LHQ1" s="5"/>
      <c r="LHR1" s="5"/>
      <c r="LHS1" s="5"/>
      <c r="LHU1" s="5"/>
      <c r="LHV1" s="5"/>
      <c r="LHW1" s="5"/>
      <c r="LHY1" s="5"/>
      <c r="LHZ1" s="5"/>
      <c r="LIA1" s="5"/>
      <c r="LIC1" s="5"/>
      <c r="LID1" s="5"/>
      <c r="LIE1" s="5"/>
      <c r="LIG1" s="5"/>
      <c r="LIH1" s="5"/>
      <c r="LII1" s="5"/>
      <c r="LIK1" s="5"/>
      <c r="LIL1" s="5"/>
      <c r="LIM1" s="5"/>
      <c r="LIO1" s="5"/>
      <c r="LIP1" s="5"/>
      <c r="LIQ1" s="5"/>
      <c r="LIS1" s="5"/>
      <c r="LIT1" s="5"/>
      <c r="LIU1" s="5"/>
      <c r="LIW1" s="5"/>
      <c r="LIX1" s="5"/>
      <c r="LIY1" s="5"/>
      <c r="LJA1" s="5"/>
      <c r="LJB1" s="5"/>
      <c r="LJC1" s="5"/>
      <c r="LJE1" s="5"/>
      <c r="LJF1" s="5"/>
      <c r="LJG1" s="5"/>
      <c r="LJI1" s="5"/>
      <c r="LJJ1" s="5"/>
      <c r="LJK1" s="5"/>
      <c r="LJM1" s="5"/>
      <c r="LJN1" s="5"/>
      <c r="LJO1" s="5"/>
      <c r="LJQ1" s="5"/>
      <c r="LJR1" s="5"/>
      <c r="LJS1" s="5"/>
      <c r="LJU1" s="5"/>
      <c r="LJV1" s="5"/>
      <c r="LJW1" s="5"/>
      <c r="LJY1" s="5"/>
      <c r="LJZ1" s="5"/>
      <c r="LKA1" s="5"/>
      <c r="LKC1" s="5"/>
      <c r="LKD1" s="5"/>
      <c r="LKE1" s="5"/>
      <c r="LKG1" s="5"/>
      <c r="LKH1" s="5"/>
      <c r="LKI1" s="5"/>
      <c r="LKK1" s="5"/>
      <c r="LKL1" s="5"/>
      <c r="LKM1" s="5"/>
      <c r="LKO1" s="5"/>
      <c r="LKP1" s="5"/>
      <c r="LKQ1" s="5"/>
      <c r="LKS1" s="5"/>
      <c r="LKT1" s="5"/>
      <c r="LKU1" s="5"/>
      <c r="LKW1" s="5"/>
      <c r="LKX1" s="5"/>
      <c r="LKY1" s="5"/>
      <c r="LLA1" s="5"/>
      <c r="LLB1" s="5"/>
      <c r="LLC1" s="5"/>
      <c r="LLE1" s="5"/>
      <c r="LLF1" s="5"/>
      <c r="LLG1" s="5"/>
      <c r="LLI1" s="5"/>
      <c r="LLJ1" s="5"/>
      <c r="LLK1" s="5"/>
      <c r="LLM1" s="5"/>
      <c r="LLN1" s="5"/>
      <c r="LLO1" s="5"/>
      <c r="LLQ1" s="5"/>
      <c r="LLR1" s="5"/>
      <c r="LLS1" s="5"/>
      <c r="LLU1" s="5"/>
      <c r="LLV1" s="5"/>
      <c r="LLW1" s="5"/>
      <c r="LLY1" s="5"/>
      <c r="LLZ1" s="5"/>
      <c r="LMA1" s="5"/>
      <c r="LMC1" s="5"/>
      <c r="LMD1" s="5"/>
      <c r="LME1" s="5"/>
      <c r="LMG1" s="5"/>
      <c r="LMH1" s="5"/>
      <c r="LMI1" s="5"/>
      <c r="LMK1" s="5"/>
      <c r="LML1" s="5"/>
      <c r="LMM1" s="5"/>
      <c r="LMO1" s="5"/>
      <c r="LMP1" s="5"/>
      <c r="LMQ1" s="5"/>
      <c r="LMS1" s="5"/>
      <c r="LMT1" s="5"/>
      <c r="LMU1" s="5"/>
      <c r="LMW1" s="5"/>
      <c r="LMX1" s="5"/>
      <c r="LMY1" s="5"/>
      <c r="LNA1" s="5"/>
      <c r="LNB1" s="5"/>
      <c r="LNC1" s="5"/>
      <c r="LNE1" s="5"/>
      <c r="LNF1" s="5"/>
      <c r="LNG1" s="5"/>
      <c r="LNI1" s="5"/>
      <c r="LNJ1" s="5"/>
      <c r="LNK1" s="5"/>
      <c r="LNM1" s="5"/>
      <c r="LNN1" s="5"/>
      <c r="LNO1" s="5"/>
      <c r="LNQ1" s="5"/>
      <c r="LNR1" s="5"/>
      <c r="LNS1" s="5"/>
      <c r="LNU1" s="5"/>
      <c r="LNV1" s="5"/>
      <c r="LNW1" s="5"/>
      <c r="LNY1" s="5"/>
      <c r="LNZ1" s="5"/>
      <c r="LOA1" s="5"/>
      <c r="LOC1" s="5"/>
      <c r="LOD1" s="5"/>
      <c r="LOE1" s="5"/>
      <c r="LOG1" s="5"/>
      <c r="LOH1" s="5"/>
      <c r="LOI1" s="5"/>
      <c r="LOK1" s="5"/>
      <c r="LOL1" s="5"/>
      <c r="LOM1" s="5"/>
      <c r="LOO1" s="5"/>
      <c r="LOP1" s="5"/>
      <c r="LOQ1" s="5"/>
      <c r="LOS1" s="5"/>
      <c r="LOT1" s="5"/>
      <c r="LOU1" s="5"/>
      <c r="LOW1" s="5"/>
      <c r="LOX1" s="5"/>
      <c r="LOY1" s="5"/>
      <c r="LPA1" s="5"/>
      <c r="LPB1" s="5"/>
      <c r="LPC1" s="5"/>
      <c r="LPE1" s="5"/>
      <c r="LPF1" s="5"/>
      <c r="LPG1" s="5"/>
      <c r="LPI1" s="5"/>
      <c r="LPJ1" s="5"/>
      <c r="LPK1" s="5"/>
      <c r="LPM1" s="5"/>
      <c r="LPN1" s="5"/>
      <c r="LPO1" s="5"/>
      <c r="LPQ1" s="5"/>
      <c r="LPR1" s="5"/>
      <c r="LPS1" s="5"/>
      <c r="LPU1" s="5"/>
      <c r="LPV1" s="5"/>
      <c r="LPW1" s="5"/>
      <c r="LPY1" s="5"/>
      <c r="LPZ1" s="5"/>
      <c r="LQA1" s="5"/>
      <c r="LQC1" s="5"/>
      <c r="LQD1" s="5"/>
      <c r="LQE1" s="5"/>
      <c r="LQG1" s="5"/>
      <c r="LQH1" s="5"/>
      <c r="LQI1" s="5"/>
      <c r="LQK1" s="5"/>
      <c r="LQL1" s="5"/>
      <c r="LQM1" s="5"/>
      <c r="LQO1" s="5"/>
      <c r="LQP1" s="5"/>
      <c r="LQQ1" s="5"/>
      <c r="LQS1" s="5"/>
      <c r="LQT1" s="5"/>
      <c r="LQU1" s="5"/>
      <c r="LQW1" s="5"/>
      <c r="LQX1" s="5"/>
      <c r="LQY1" s="5"/>
      <c r="LRA1" s="5"/>
      <c r="LRB1" s="5"/>
      <c r="LRC1" s="5"/>
      <c r="LRE1" s="5"/>
      <c r="LRF1" s="5"/>
      <c r="LRG1" s="5"/>
      <c r="LRI1" s="5"/>
      <c r="LRJ1" s="5"/>
      <c r="LRK1" s="5"/>
      <c r="LRM1" s="5"/>
      <c r="LRN1" s="5"/>
      <c r="LRO1" s="5"/>
      <c r="LRQ1" s="5"/>
      <c r="LRR1" s="5"/>
      <c r="LRS1" s="5"/>
      <c r="LRU1" s="5"/>
      <c r="LRV1" s="5"/>
      <c r="LRW1" s="5"/>
      <c r="LRY1" s="5"/>
      <c r="LRZ1" s="5"/>
      <c r="LSA1" s="5"/>
      <c r="LSC1" s="5"/>
      <c r="LSD1" s="5"/>
      <c r="LSE1" s="5"/>
      <c r="LSG1" s="5"/>
      <c r="LSH1" s="5"/>
      <c r="LSI1" s="5"/>
      <c r="LSK1" s="5"/>
      <c r="LSL1" s="5"/>
      <c r="LSM1" s="5"/>
      <c r="LSO1" s="5"/>
      <c r="LSP1" s="5"/>
      <c r="LSQ1" s="5"/>
      <c r="LSS1" s="5"/>
      <c r="LST1" s="5"/>
      <c r="LSU1" s="5"/>
      <c r="LSW1" s="5"/>
      <c r="LSX1" s="5"/>
      <c r="LSY1" s="5"/>
      <c r="LTA1" s="5"/>
      <c r="LTB1" s="5"/>
      <c r="LTC1" s="5"/>
      <c r="LTE1" s="5"/>
      <c r="LTF1" s="5"/>
      <c r="LTG1" s="5"/>
      <c r="LTI1" s="5"/>
      <c r="LTJ1" s="5"/>
      <c r="LTK1" s="5"/>
      <c r="LTM1" s="5"/>
      <c r="LTN1" s="5"/>
      <c r="LTO1" s="5"/>
      <c r="LTQ1" s="5"/>
      <c r="LTR1" s="5"/>
      <c r="LTS1" s="5"/>
      <c r="LTU1" s="5"/>
      <c r="LTV1" s="5"/>
      <c r="LTW1" s="5"/>
      <c r="LTY1" s="5"/>
      <c r="LTZ1" s="5"/>
      <c r="LUA1" s="5"/>
      <c r="LUC1" s="5"/>
      <c r="LUD1" s="5"/>
      <c r="LUE1" s="5"/>
      <c r="LUG1" s="5"/>
      <c r="LUH1" s="5"/>
      <c r="LUI1" s="5"/>
      <c r="LUK1" s="5"/>
      <c r="LUL1" s="5"/>
      <c r="LUM1" s="5"/>
      <c r="LUO1" s="5"/>
      <c r="LUP1" s="5"/>
      <c r="LUQ1" s="5"/>
      <c r="LUS1" s="5"/>
      <c r="LUT1" s="5"/>
      <c r="LUU1" s="5"/>
      <c r="LUW1" s="5"/>
      <c r="LUX1" s="5"/>
      <c r="LUY1" s="5"/>
      <c r="LVA1" s="5"/>
      <c r="LVB1" s="5"/>
      <c r="LVC1" s="5"/>
      <c r="LVE1" s="5"/>
      <c r="LVF1" s="5"/>
      <c r="LVG1" s="5"/>
      <c r="LVI1" s="5"/>
      <c r="LVJ1" s="5"/>
      <c r="LVK1" s="5"/>
      <c r="LVM1" s="5"/>
      <c r="LVN1" s="5"/>
      <c r="LVO1" s="5"/>
      <c r="LVQ1" s="5"/>
      <c r="LVR1" s="5"/>
      <c r="LVS1" s="5"/>
      <c r="LVU1" s="5"/>
      <c r="LVV1" s="5"/>
      <c r="LVW1" s="5"/>
      <c r="LVY1" s="5"/>
      <c r="LVZ1" s="5"/>
      <c r="LWA1" s="5"/>
      <c r="LWC1" s="5"/>
      <c r="LWD1" s="5"/>
      <c r="LWE1" s="5"/>
      <c r="LWG1" s="5"/>
      <c r="LWH1" s="5"/>
      <c r="LWI1" s="5"/>
      <c r="LWK1" s="5"/>
      <c r="LWL1" s="5"/>
      <c r="LWM1" s="5"/>
      <c r="LWO1" s="5"/>
      <c r="LWP1" s="5"/>
      <c r="LWQ1" s="5"/>
      <c r="LWS1" s="5"/>
      <c r="LWT1" s="5"/>
      <c r="LWU1" s="5"/>
      <c r="LWW1" s="5"/>
      <c r="LWX1" s="5"/>
      <c r="LWY1" s="5"/>
      <c r="LXA1" s="5"/>
      <c r="LXB1" s="5"/>
      <c r="LXC1" s="5"/>
      <c r="LXE1" s="5"/>
      <c r="LXF1" s="5"/>
      <c r="LXG1" s="5"/>
      <c r="LXI1" s="5"/>
      <c r="LXJ1" s="5"/>
      <c r="LXK1" s="5"/>
      <c r="LXM1" s="5"/>
      <c r="LXN1" s="5"/>
      <c r="LXO1" s="5"/>
      <c r="LXQ1" s="5"/>
      <c r="LXR1" s="5"/>
      <c r="LXS1" s="5"/>
      <c r="LXU1" s="5"/>
      <c r="LXV1" s="5"/>
      <c r="LXW1" s="5"/>
      <c r="LXY1" s="5"/>
      <c r="LXZ1" s="5"/>
      <c r="LYA1" s="5"/>
      <c r="LYC1" s="5"/>
      <c r="LYD1" s="5"/>
      <c r="LYE1" s="5"/>
      <c r="LYG1" s="5"/>
      <c r="LYH1" s="5"/>
      <c r="LYI1" s="5"/>
      <c r="LYK1" s="5"/>
      <c r="LYL1" s="5"/>
      <c r="LYM1" s="5"/>
      <c r="LYO1" s="5"/>
      <c r="LYP1" s="5"/>
      <c r="LYQ1" s="5"/>
      <c r="LYS1" s="5"/>
      <c r="LYT1" s="5"/>
      <c r="LYU1" s="5"/>
      <c r="LYW1" s="5"/>
      <c r="LYX1" s="5"/>
      <c r="LYY1" s="5"/>
      <c r="LZA1" s="5"/>
      <c r="LZB1" s="5"/>
      <c r="LZC1" s="5"/>
      <c r="LZE1" s="5"/>
      <c r="LZF1" s="5"/>
      <c r="LZG1" s="5"/>
      <c r="LZI1" s="5"/>
      <c r="LZJ1" s="5"/>
      <c r="LZK1" s="5"/>
      <c r="LZM1" s="5"/>
      <c r="LZN1" s="5"/>
      <c r="LZO1" s="5"/>
      <c r="LZQ1" s="5"/>
      <c r="LZR1" s="5"/>
      <c r="LZS1" s="5"/>
      <c r="LZU1" s="5"/>
      <c r="LZV1" s="5"/>
      <c r="LZW1" s="5"/>
      <c r="LZY1" s="5"/>
      <c r="LZZ1" s="5"/>
      <c r="MAA1" s="5"/>
      <c r="MAC1" s="5"/>
      <c r="MAD1" s="5"/>
      <c r="MAE1" s="5"/>
      <c r="MAG1" s="5"/>
      <c r="MAH1" s="5"/>
      <c r="MAI1" s="5"/>
      <c r="MAK1" s="5"/>
      <c r="MAL1" s="5"/>
      <c r="MAM1" s="5"/>
      <c r="MAO1" s="5"/>
      <c r="MAP1" s="5"/>
      <c r="MAQ1" s="5"/>
      <c r="MAS1" s="5"/>
      <c r="MAT1" s="5"/>
      <c r="MAU1" s="5"/>
      <c r="MAW1" s="5"/>
      <c r="MAX1" s="5"/>
      <c r="MAY1" s="5"/>
      <c r="MBA1" s="5"/>
      <c r="MBB1" s="5"/>
      <c r="MBC1" s="5"/>
      <c r="MBE1" s="5"/>
      <c r="MBF1" s="5"/>
      <c r="MBG1" s="5"/>
      <c r="MBI1" s="5"/>
      <c r="MBJ1" s="5"/>
      <c r="MBK1" s="5"/>
      <c r="MBM1" s="5"/>
      <c r="MBN1" s="5"/>
      <c r="MBO1" s="5"/>
      <c r="MBQ1" s="5"/>
      <c r="MBR1" s="5"/>
      <c r="MBS1" s="5"/>
      <c r="MBU1" s="5"/>
      <c r="MBV1" s="5"/>
      <c r="MBW1" s="5"/>
      <c r="MBY1" s="5"/>
      <c r="MBZ1" s="5"/>
      <c r="MCA1" s="5"/>
      <c r="MCC1" s="5"/>
      <c r="MCD1" s="5"/>
      <c r="MCE1" s="5"/>
      <c r="MCG1" s="5"/>
      <c r="MCH1" s="5"/>
      <c r="MCI1" s="5"/>
      <c r="MCK1" s="5"/>
      <c r="MCL1" s="5"/>
      <c r="MCM1" s="5"/>
      <c r="MCO1" s="5"/>
      <c r="MCP1" s="5"/>
      <c r="MCQ1" s="5"/>
      <c r="MCS1" s="5"/>
      <c r="MCT1" s="5"/>
      <c r="MCU1" s="5"/>
      <c r="MCW1" s="5"/>
      <c r="MCX1" s="5"/>
      <c r="MCY1" s="5"/>
      <c r="MDA1" s="5"/>
      <c r="MDB1" s="5"/>
      <c r="MDC1" s="5"/>
      <c r="MDE1" s="5"/>
      <c r="MDF1" s="5"/>
      <c r="MDG1" s="5"/>
      <c r="MDI1" s="5"/>
      <c r="MDJ1" s="5"/>
      <c r="MDK1" s="5"/>
      <c r="MDM1" s="5"/>
      <c r="MDN1" s="5"/>
      <c r="MDO1" s="5"/>
      <c r="MDQ1" s="5"/>
      <c r="MDR1" s="5"/>
      <c r="MDS1" s="5"/>
      <c r="MDU1" s="5"/>
      <c r="MDV1" s="5"/>
      <c r="MDW1" s="5"/>
      <c r="MDY1" s="5"/>
      <c r="MDZ1" s="5"/>
      <c r="MEA1" s="5"/>
      <c r="MEC1" s="5"/>
      <c r="MED1" s="5"/>
      <c r="MEE1" s="5"/>
      <c r="MEG1" s="5"/>
      <c r="MEH1" s="5"/>
      <c r="MEI1" s="5"/>
      <c r="MEK1" s="5"/>
      <c r="MEL1" s="5"/>
      <c r="MEM1" s="5"/>
      <c r="MEO1" s="5"/>
      <c r="MEP1" s="5"/>
      <c r="MEQ1" s="5"/>
      <c r="MES1" s="5"/>
      <c r="MET1" s="5"/>
      <c r="MEU1" s="5"/>
      <c r="MEW1" s="5"/>
      <c r="MEX1" s="5"/>
      <c r="MEY1" s="5"/>
      <c r="MFA1" s="5"/>
      <c r="MFB1" s="5"/>
      <c r="MFC1" s="5"/>
      <c r="MFE1" s="5"/>
      <c r="MFF1" s="5"/>
      <c r="MFG1" s="5"/>
      <c r="MFI1" s="5"/>
      <c r="MFJ1" s="5"/>
      <c r="MFK1" s="5"/>
      <c r="MFM1" s="5"/>
      <c r="MFN1" s="5"/>
      <c r="MFO1" s="5"/>
      <c r="MFQ1" s="5"/>
      <c r="MFR1" s="5"/>
      <c r="MFS1" s="5"/>
      <c r="MFU1" s="5"/>
      <c r="MFV1" s="5"/>
      <c r="MFW1" s="5"/>
      <c r="MFY1" s="5"/>
      <c r="MFZ1" s="5"/>
      <c r="MGA1" s="5"/>
      <c r="MGC1" s="5"/>
      <c r="MGD1" s="5"/>
      <c r="MGE1" s="5"/>
      <c r="MGG1" s="5"/>
      <c r="MGH1" s="5"/>
      <c r="MGI1" s="5"/>
      <c r="MGK1" s="5"/>
      <c r="MGL1" s="5"/>
      <c r="MGM1" s="5"/>
      <c r="MGO1" s="5"/>
      <c r="MGP1" s="5"/>
      <c r="MGQ1" s="5"/>
      <c r="MGS1" s="5"/>
      <c r="MGT1" s="5"/>
      <c r="MGU1" s="5"/>
      <c r="MGW1" s="5"/>
      <c r="MGX1" s="5"/>
      <c r="MGY1" s="5"/>
      <c r="MHA1" s="5"/>
      <c r="MHB1" s="5"/>
      <c r="MHC1" s="5"/>
      <c r="MHE1" s="5"/>
      <c r="MHF1" s="5"/>
      <c r="MHG1" s="5"/>
      <c r="MHI1" s="5"/>
      <c r="MHJ1" s="5"/>
      <c r="MHK1" s="5"/>
      <c r="MHM1" s="5"/>
      <c r="MHN1" s="5"/>
      <c r="MHO1" s="5"/>
      <c r="MHQ1" s="5"/>
      <c r="MHR1" s="5"/>
      <c r="MHS1" s="5"/>
      <c r="MHU1" s="5"/>
      <c r="MHV1" s="5"/>
      <c r="MHW1" s="5"/>
      <c r="MHY1" s="5"/>
      <c r="MHZ1" s="5"/>
      <c r="MIA1" s="5"/>
      <c r="MIC1" s="5"/>
      <c r="MID1" s="5"/>
      <c r="MIE1" s="5"/>
      <c r="MIG1" s="5"/>
      <c r="MIH1" s="5"/>
      <c r="MII1" s="5"/>
      <c r="MIK1" s="5"/>
      <c r="MIL1" s="5"/>
      <c r="MIM1" s="5"/>
      <c r="MIO1" s="5"/>
      <c r="MIP1" s="5"/>
      <c r="MIQ1" s="5"/>
      <c r="MIS1" s="5"/>
      <c r="MIT1" s="5"/>
      <c r="MIU1" s="5"/>
      <c r="MIW1" s="5"/>
      <c r="MIX1" s="5"/>
      <c r="MIY1" s="5"/>
      <c r="MJA1" s="5"/>
      <c r="MJB1" s="5"/>
      <c r="MJC1" s="5"/>
      <c r="MJE1" s="5"/>
      <c r="MJF1" s="5"/>
      <c r="MJG1" s="5"/>
      <c r="MJI1" s="5"/>
      <c r="MJJ1" s="5"/>
      <c r="MJK1" s="5"/>
      <c r="MJM1" s="5"/>
      <c r="MJN1" s="5"/>
      <c r="MJO1" s="5"/>
      <c r="MJQ1" s="5"/>
      <c r="MJR1" s="5"/>
      <c r="MJS1" s="5"/>
      <c r="MJU1" s="5"/>
      <c r="MJV1" s="5"/>
      <c r="MJW1" s="5"/>
      <c r="MJY1" s="5"/>
      <c r="MJZ1" s="5"/>
      <c r="MKA1" s="5"/>
      <c r="MKC1" s="5"/>
      <c r="MKD1" s="5"/>
      <c r="MKE1" s="5"/>
      <c r="MKG1" s="5"/>
      <c r="MKH1" s="5"/>
      <c r="MKI1" s="5"/>
      <c r="MKK1" s="5"/>
      <c r="MKL1" s="5"/>
      <c r="MKM1" s="5"/>
      <c r="MKO1" s="5"/>
      <c r="MKP1" s="5"/>
      <c r="MKQ1" s="5"/>
      <c r="MKS1" s="5"/>
      <c r="MKT1" s="5"/>
      <c r="MKU1" s="5"/>
      <c r="MKW1" s="5"/>
      <c r="MKX1" s="5"/>
      <c r="MKY1" s="5"/>
      <c r="MLA1" s="5"/>
      <c r="MLB1" s="5"/>
      <c r="MLC1" s="5"/>
      <c r="MLE1" s="5"/>
      <c r="MLF1" s="5"/>
      <c r="MLG1" s="5"/>
      <c r="MLI1" s="5"/>
      <c r="MLJ1" s="5"/>
      <c r="MLK1" s="5"/>
      <c r="MLM1" s="5"/>
      <c r="MLN1" s="5"/>
      <c r="MLO1" s="5"/>
      <c r="MLQ1" s="5"/>
      <c r="MLR1" s="5"/>
      <c r="MLS1" s="5"/>
      <c r="MLU1" s="5"/>
      <c r="MLV1" s="5"/>
      <c r="MLW1" s="5"/>
      <c r="MLY1" s="5"/>
      <c r="MLZ1" s="5"/>
      <c r="MMA1" s="5"/>
      <c r="MMC1" s="5"/>
      <c r="MMD1" s="5"/>
      <c r="MME1" s="5"/>
      <c r="MMG1" s="5"/>
      <c r="MMH1" s="5"/>
      <c r="MMI1" s="5"/>
      <c r="MMK1" s="5"/>
      <c r="MML1" s="5"/>
      <c r="MMM1" s="5"/>
      <c r="MMO1" s="5"/>
      <c r="MMP1" s="5"/>
      <c r="MMQ1" s="5"/>
      <c r="MMS1" s="5"/>
      <c r="MMT1" s="5"/>
      <c r="MMU1" s="5"/>
      <c r="MMW1" s="5"/>
      <c r="MMX1" s="5"/>
      <c r="MMY1" s="5"/>
      <c r="MNA1" s="5"/>
      <c r="MNB1" s="5"/>
      <c r="MNC1" s="5"/>
      <c r="MNE1" s="5"/>
      <c r="MNF1" s="5"/>
      <c r="MNG1" s="5"/>
      <c r="MNI1" s="5"/>
      <c r="MNJ1" s="5"/>
      <c r="MNK1" s="5"/>
      <c r="MNM1" s="5"/>
      <c r="MNN1" s="5"/>
      <c r="MNO1" s="5"/>
      <c r="MNQ1" s="5"/>
      <c r="MNR1" s="5"/>
      <c r="MNS1" s="5"/>
      <c r="MNU1" s="5"/>
      <c r="MNV1" s="5"/>
      <c r="MNW1" s="5"/>
      <c r="MNY1" s="5"/>
      <c r="MNZ1" s="5"/>
      <c r="MOA1" s="5"/>
      <c r="MOC1" s="5"/>
      <c r="MOD1" s="5"/>
      <c r="MOE1" s="5"/>
      <c r="MOG1" s="5"/>
      <c r="MOH1" s="5"/>
      <c r="MOI1" s="5"/>
      <c r="MOK1" s="5"/>
      <c r="MOL1" s="5"/>
      <c r="MOM1" s="5"/>
      <c r="MOO1" s="5"/>
      <c r="MOP1" s="5"/>
      <c r="MOQ1" s="5"/>
      <c r="MOS1" s="5"/>
      <c r="MOT1" s="5"/>
      <c r="MOU1" s="5"/>
      <c r="MOW1" s="5"/>
      <c r="MOX1" s="5"/>
      <c r="MOY1" s="5"/>
      <c r="MPA1" s="5"/>
      <c r="MPB1" s="5"/>
      <c r="MPC1" s="5"/>
      <c r="MPE1" s="5"/>
      <c r="MPF1" s="5"/>
      <c r="MPG1" s="5"/>
      <c r="MPI1" s="5"/>
      <c r="MPJ1" s="5"/>
      <c r="MPK1" s="5"/>
      <c r="MPM1" s="5"/>
      <c r="MPN1" s="5"/>
      <c r="MPO1" s="5"/>
      <c r="MPQ1" s="5"/>
      <c r="MPR1" s="5"/>
      <c r="MPS1" s="5"/>
      <c r="MPU1" s="5"/>
      <c r="MPV1" s="5"/>
      <c r="MPW1" s="5"/>
      <c r="MPY1" s="5"/>
      <c r="MPZ1" s="5"/>
      <c r="MQA1" s="5"/>
      <c r="MQC1" s="5"/>
      <c r="MQD1" s="5"/>
      <c r="MQE1" s="5"/>
      <c r="MQG1" s="5"/>
      <c r="MQH1" s="5"/>
      <c r="MQI1" s="5"/>
      <c r="MQK1" s="5"/>
      <c r="MQL1" s="5"/>
      <c r="MQM1" s="5"/>
      <c r="MQO1" s="5"/>
      <c r="MQP1" s="5"/>
      <c r="MQQ1" s="5"/>
      <c r="MQS1" s="5"/>
      <c r="MQT1" s="5"/>
      <c r="MQU1" s="5"/>
      <c r="MQW1" s="5"/>
      <c r="MQX1" s="5"/>
      <c r="MQY1" s="5"/>
      <c r="MRA1" s="5"/>
      <c r="MRB1" s="5"/>
      <c r="MRC1" s="5"/>
      <c r="MRE1" s="5"/>
      <c r="MRF1" s="5"/>
      <c r="MRG1" s="5"/>
      <c r="MRI1" s="5"/>
      <c r="MRJ1" s="5"/>
      <c r="MRK1" s="5"/>
      <c r="MRM1" s="5"/>
      <c r="MRN1" s="5"/>
      <c r="MRO1" s="5"/>
      <c r="MRQ1" s="5"/>
      <c r="MRR1" s="5"/>
      <c r="MRS1" s="5"/>
      <c r="MRU1" s="5"/>
      <c r="MRV1" s="5"/>
      <c r="MRW1" s="5"/>
      <c r="MRY1" s="5"/>
      <c r="MRZ1" s="5"/>
      <c r="MSA1" s="5"/>
      <c r="MSC1" s="5"/>
      <c r="MSD1" s="5"/>
      <c r="MSE1" s="5"/>
      <c r="MSG1" s="5"/>
      <c r="MSH1" s="5"/>
      <c r="MSI1" s="5"/>
      <c r="MSK1" s="5"/>
      <c r="MSL1" s="5"/>
      <c r="MSM1" s="5"/>
      <c r="MSO1" s="5"/>
      <c r="MSP1" s="5"/>
      <c r="MSQ1" s="5"/>
      <c r="MSS1" s="5"/>
      <c r="MST1" s="5"/>
      <c r="MSU1" s="5"/>
      <c r="MSW1" s="5"/>
      <c r="MSX1" s="5"/>
      <c r="MSY1" s="5"/>
      <c r="MTA1" s="5"/>
      <c r="MTB1" s="5"/>
      <c r="MTC1" s="5"/>
      <c r="MTE1" s="5"/>
      <c r="MTF1" s="5"/>
      <c r="MTG1" s="5"/>
      <c r="MTI1" s="5"/>
      <c r="MTJ1" s="5"/>
      <c r="MTK1" s="5"/>
      <c r="MTM1" s="5"/>
      <c r="MTN1" s="5"/>
      <c r="MTO1" s="5"/>
      <c r="MTQ1" s="5"/>
      <c r="MTR1" s="5"/>
      <c r="MTS1" s="5"/>
      <c r="MTU1" s="5"/>
      <c r="MTV1" s="5"/>
      <c r="MTW1" s="5"/>
      <c r="MTY1" s="5"/>
      <c r="MTZ1" s="5"/>
      <c r="MUA1" s="5"/>
      <c r="MUC1" s="5"/>
      <c r="MUD1" s="5"/>
      <c r="MUE1" s="5"/>
      <c r="MUG1" s="5"/>
      <c r="MUH1" s="5"/>
      <c r="MUI1" s="5"/>
      <c r="MUK1" s="5"/>
      <c r="MUL1" s="5"/>
      <c r="MUM1" s="5"/>
      <c r="MUO1" s="5"/>
      <c r="MUP1" s="5"/>
      <c r="MUQ1" s="5"/>
      <c r="MUS1" s="5"/>
      <c r="MUT1" s="5"/>
      <c r="MUU1" s="5"/>
      <c r="MUW1" s="5"/>
      <c r="MUX1" s="5"/>
      <c r="MUY1" s="5"/>
      <c r="MVA1" s="5"/>
      <c r="MVB1" s="5"/>
      <c r="MVC1" s="5"/>
      <c r="MVE1" s="5"/>
      <c r="MVF1" s="5"/>
      <c r="MVG1" s="5"/>
      <c r="MVI1" s="5"/>
      <c r="MVJ1" s="5"/>
      <c r="MVK1" s="5"/>
      <c r="MVM1" s="5"/>
      <c r="MVN1" s="5"/>
      <c r="MVO1" s="5"/>
      <c r="MVQ1" s="5"/>
      <c r="MVR1" s="5"/>
      <c r="MVS1" s="5"/>
      <c r="MVU1" s="5"/>
      <c r="MVV1" s="5"/>
      <c r="MVW1" s="5"/>
      <c r="MVY1" s="5"/>
      <c r="MVZ1" s="5"/>
      <c r="MWA1" s="5"/>
      <c r="MWC1" s="5"/>
      <c r="MWD1" s="5"/>
      <c r="MWE1" s="5"/>
      <c r="MWG1" s="5"/>
      <c r="MWH1" s="5"/>
      <c r="MWI1" s="5"/>
      <c r="MWK1" s="5"/>
      <c r="MWL1" s="5"/>
      <c r="MWM1" s="5"/>
      <c r="MWO1" s="5"/>
      <c r="MWP1" s="5"/>
      <c r="MWQ1" s="5"/>
      <c r="MWS1" s="5"/>
      <c r="MWT1" s="5"/>
      <c r="MWU1" s="5"/>
      <c r="MWW1" s="5"/>
      <c r="MWX1" s="5"/>
      <c r="MWY1" s="5"/>
      <c r="MXA1" s="5"/>
      <c r="MXB1" s="5"/>
      <c r="MXC1" s="5"/>
      <c r="MXE1" s="5"/>
      <c r="MXF1" s="5"/>
      <c r="MXG1" s="5"/>
      <c r="MXI1" s="5"/>
      <c r="MXJ1" s="5"/>
      <c r="MXK1" s="5"/>
      <c r="MXM1" s="5"/>
      <c r="MXN1" s="5"/>
      <c r="MXO1" s="5"/>
      <c r="MXQ1" s="5"/>
      <c r="MXR1" s="5"/>
      <c r="MXS1" s="5"/>
      <c r="MXU1" s="5"/>
      <c r="MXV1" s="5"/>
      <c r="MXW1" s="5"/>
      <c r="MXY1" s="5"/>
      <c r="MXZ1" s="5"/>
      <c r="MYA1" s="5"/>
      <c r="MYC1" s="5"/>
      <c r="MYD1" s="5"/>
      <c r="MYE1" s="5"/>
      <c r="MYG1" s="5"/>
      <c r="MYH1" s="5"/>
      <c r="MYI1" s="5"/>
      <c r="MYK1" s="5"/>
      <c r="MYL1" s="5"/>
      <c r="MYM1" s="5"/>
      <c r="MYO1" s="5"/>
      <c r="MYP1" s="5"/>
      <c r="MYQ1" s="5"/>
      <c r="MYS1" s="5"/>
      <c r="MYT1" s="5"/>
      <c r="MYU1" s="5"/>
      <c r="MYW1" s="5"/>
      <c r="MYX1" s="5"/>
      <c r="MYY1" s="5"/>
      <c r="MZA1" s="5"/>
      <c r="MZB1" s="5"/>
      <c r="MZC1" s="5"/>
      <c r="MZE1" s="5"/>
      <c r="MZF1" s="5"/>
      <c r="MZG1" s="5"/>
      <c r="MZI1" s="5"/>
      <c r="MZJ1" s="5"/>
      <c r="MZK1" s="5"/>
      <c r="MZM1" s="5"/>
      <c r="MZN1" s="5"/>
      <c r="MZO1" s="5"/>
      <c r="MZQ1" s="5"/>
      <c r="MZR1" s="5"/>
      <c r="MZS1" s="5"/>
      <c r="MZU1" s="5"/>
      <c r="MZV1" s="5"/>
      <c r="MZW1" s="5"/>
      <c r="MZY1" s="5"/>
      <c r="MZZ1" s="5"/>
      <c r="NAA1" s="5"/>
      <c r="NAC1" s="5"/>
      <c r="NAD1" s="5"/>
      <c r="NAE1" s="5"/>
      <c r="NAG1" s="5"/>
      <c r="NAH1" s="5"/>
      <c r="NAI1" s="5"/>
      <c r="NAK1" s="5"/>
      <c r="NAL1" s="5"/>
      <c r="NAM1" s="5"/>
      <c r="NAO1" s="5"/>
      <c r="NAP1" s="5"/>
      <c r="NAQ1" s="5"/>
      <c r="NAS1" s="5"/>
      <c r="NAT1" s="5"/>
      <c r="NAU1" s="5"/>
      <c r="NAW1" s="5"/>
      <c r="NAX1" s="5"/>
      <c r="NAY1" s="5"/>
      <c r="NBA1" s="5"/>
      <c r="NBB1" s="5"/>
      <c r="NBC1" s="5"/>
      <c r="NBE1" s="5"/>
      <c r="NBF1" s="5"/>
      <c r="NBG1" s="5"/>
      <c r="NBI1" s="5"/>
      <c r="NBJ1" s="5"/>
      <c r="NBK1" s="5"/>
      <c r="NBM1" s="5"/>
      <c r="NBN1" s="5"/>
      <c r="NBO1" s="5"/>
      <c r="NBQ1" s="5"/>
      <c r="NBR1" s="5"/>
      <c r="NBS1" s="5"/>
      <c r="NBU1" s="5"/>
      <c r="NBV1" s="5"/>
      <c r="NBW1" s="5"/>
      <c r="NBY1" s="5"/>
      <c r="NBZ1" s="5"/>
      <c r="NCA1" s="5"/>
      <c r="NCC1" s="5"/>
      <c r="NCD1" s="5"/>
      <c r="NCE1" s="5"/>
      <c r="NCG1" s="5"/>
      <c r="NCH1" s="5"/>
      <c r="NCI1" s="5"/>
      <c r="NCK1" s="5"/>
      <c r="NCL1" s="5"/>
      <c r="NCM1" s="5"/>
      <c r="NCO1" s="5"/>
      <c r="NCP1" s="5"/>
      <c r="NCQ1" s="5"/>
      <c r="NCS1" s="5"/>
      <c r="NCT1" s="5"/>
      <c r="NCU1" s="5"/>
      <c r="NCW1" s="5"/>
      <c r="NCX1" s="5"/>
      <c r="NCY1" s="5"/>
      <c r="NDA1" s="5"/>
      <c r="NDB1" s="5"/>
      <c r="NDC1" s="5"/>
      <c r="NDE1" s="5"/>
      <c r="NDF1" s="5"/>
      <c r="NDG1" s="5"/>
      <c r="NDI1" s="5"/>
      <c r="NDJ1" s="5"/>
      <c r="NDK1" s="5"/>
      <c r="NDM1" s="5"/>
      <c r="NDN1" s="5"/>
      <c r="NDO1" s="5"/>
      <c r="NDQ1" s="5"/>
      <c r="NDR1" s="5"/>
      <c r="NDS1" s="5"/>
      <c r="NDU1" s="5"/>
      <c r="NDV1" s="5"/>
      <c r="NDW1" s="5"/>
      <c r="NDY1" s="5"/>
      <c r="NDZ1" s="5"/>
      <c r="NEA1" s="5"/>
      <c r="NEC1" s="5"/>
      <c r="NED1" s="5"/>
      <c r="NEE1" s="5"/>
      <c r="NEG1" s="5"/>
      <c r="NEH1" s="5"/>
      <c r="NEI1" s="5"/>
      <c r="NEK1" s="5"/>
      <c r="NEL1" s="5"/>
      <c r="NEM1" s="5"/>
      <c r="NEO1" s="5"/>
      <c r="NEP1" s="5"/>
      <c r="NEQ1" s="5"/>
      <c r="NES1" s="5"/>
      <c r="NET1" s="5"/>
      <c r="NEU1" s="5"/>
      <c r="NEW1" s="5"/>
      <c r="NEX1" s="5"/>
      <c r="NEY1" s="5"/>
      <c r="NFA1" s="5"/>
      <c r="NFB1" s="5"/>
      <c r="NFC1" s="5"/>
      <c r="NFE1" s="5"/>
      <c r="NFF1" s="5"/>
      <c r="NFG1" s="5"/>
      <c r="NFI1" s="5"/>
      <c r="NFJ1" s="5"/>
      <c r="NFK1" s="5"/>
      <c r="NFM1" s="5"/>
      <c r="NFN1" s="5"/>
      <c r="NFO1" s="5"/>
      <c r="NFQ1" s="5"/>
      <c r="NFR1" s="5"/>
      <c r="NFS1" s="5"/>
      <c r="NFU1" s="5"/>
      <c r="NFV1" s="5"/>
      <c r="NFW1" s="5"/>
      <c r="NFY1" s="5"/>
      <c r="NFZ1" s="5"/>
      <c r="NGA1" s="5"/>
      <c r="NGC1" s="5"/>
      <c r="NGD1" s="5"/>
      <c r="NGE1" s="5"/>
      <c r="NGG1" s="5"/>
      <c r="NGH1" s="5"/>
      <c r="NGI1" s="5"/>
      <c r="NGK1" s="5"/>
      <c r="NGL1" s="5"/>
      <c r="NGM1" s="5"/>
      <c r="NGO1" s="5"/>
      <c r="NGP1" s="5"/>
      <c r="NGQ1" s="5"/>
      <c r="NGS1" s="5"/>
      <c r="NGT1" s="5"/>
      <c r="NGU1" s="5"/>
      <c r="NGW1" s="5"/>
      <c r="NGX1" s="5"/>
      <c r="NGY1" s="5"/>
      <c r="NHA1" s="5"/>
      <c r="NHB1" s="5"/>
      <c r="NHC1" s="5"/>
      <c r="NHE1" s="5"/>
      <c r="NHF1" s="5"/>
      <c r="NHG1" s="5"/>
      <c r="NHI1" s="5"/>
      <c r="NHJ1" s="5"/>
      <c r="NHK1" s="5"/>
      <c r="NHM1" s="5"/>
      <c r="NHN1" s="5"/>
      <c r="NHO1" s="5"/>
      <c r="NHQ1" s="5"/>
      <c r="NHR1" s="5"/>
      <c r="NHS1" s="5"/>
      <c r="NHU1" s="5"/>
      <c r="NHV1" s="5"/>
      <c r="NHW1" s="5"/>
      <c r="NHY1" s="5"/>
      <c r="NHZ1" s="5"/>
      <c r="NIA1" s="5"/>
      <c r="NIC1" s="5"/>
      <c r="NID1" s="5"/>
      <c r="NIE1" s="5"/>
      <c r="NIG1" s="5"/>
      <c r="NIH1" s="5"/>
      <c r="NII1" s="5"/>
      <c r="NIK1" s="5"/>
      <c r="NIL1" s="5"/>
      <c r="NIM1" s="5"/>
      <c r="NIO1" s="5"/>
      <c r="NIP1" s="5"/>
      <c r="NIQ1" s="5"/>
      <c r="NIS1" s="5"/>
      <c r="NIT1" s="5"/>
      <c r="NIU1" s="5"/>
      <c r="NIW1" s="5"/>
      <c r="NIX1" s="5"/>
      <c r="NIY1" s="5"/>
      <c r="NJA1" s="5"/>
      <c r="NJB1" s="5"/>
      <c r="NJC1" s="5"/>
      <c r="NJE1" s="5"/>
      <c r="NJF1" s="5"/>
      <c r="NJG1" s="5"/>
      <c r="NJI1" s="5"/>
      <c r="NJJ1" s="5"/>
      <c r="NJK1" s="5"/>
      <c r="NJM1" s="5"/>
      <c r="NJN1" s="5"/>
      <c r="NJO1" s="5"/>
      <c r="NJQ1" s="5"/>
      <c r="NJR1" s="5"/>
      <c r="NJS1" s="5"/>
      <c r="NJU1" s="5"/>
      <c r="NJV1" s="5"/>
      <c r="NJW1" s="5"/>
      <c r="NJY1" s="5"/>
      <c r="NJZ1" s="5"/>
      <c r="NKA1" s="5"/>
      <c r="NKC1" s="5"/>
      <c r="NKD1" s="5"/>
      <c r="NKE1" s="5"/>
      <c r="NKG1" s="5"/>
      <c r="NKH1" s="5"/>
      <c r="NKI1" s="5"/>
      <c r="NKK1" s="5"/>
      <c r="NKL1" s="5"/>
      <c r="NKM1" s="5"/>
      <c r="NKO1" s="5"/>
      <c r="NKP1" s="5"/>
      <c r="NKQ1" s="5"/>
      <c r="NKS1" s="5"/>
      <c r="NKT1" s="5"/>
      <c r="NKU1" s="5"/>
      <c r="NKW1" s="5"/>
      <c r="NKX1" s="5"/>
      <c r="NKY1" s="5"/>
      <c r="NLA1" s="5"/>
      <c r="NLB1" s="5"/>
      <c r="NLC1" s="5"/>
      <c r="NLE1" s="5"/>
      <c r="NLF1" s="5"/>
      <c r="NLG1" s="5"/>
      <c r="NLI1" s="5"/>
      <c r="NLJ1" s="5"/>
      <c r="NLK1" s="5"/>
      <c r="NLM1" s="5"/>
      <c r="NLN1" s="5"/>
      <c r="NLO1" s="5"/>
      <c r="NLQ1" s="5"/>
      <c r="NLR1" s="5"/>
      <c r="NLS1" s="5"/>
      <c r="NLU1" s="5"/>
      <c r="NLV1" s="5"/>
      <c r="NLW1" s="5"/>
      <c r="NLY1" s="5"/>
      <c r="NLZ1" s="5"/>
      <c r="NMA1" s="5"/>
      <c r="NMC1" s="5"/>
      <c r="NMD1" s="5"/>
      <c r="NME1" s="5"/>
      <c r="NMG1" s="5"/>
      <c r="NMH1" s="5"/>
      <c r="NMI1" s="5"/>
      <c r="NMK1" s="5"/>
      <c r="NML1" s="5"/>
      <c r="NMM1" s="5"/>
      <c r="NMO1" s="5"/>
      <c r="NMP1" s="5"/>
      <c r="NMQ1" s="5"/>
      <c r="NMS1" s="5"/>
      <c r="NMT1" s="5"/>
      <c r="NMU1" s="5"/>
      <c r="NMW1" s="5"/>
      <c r="NMX1" s="5"/>
      <c r="NMY1" s="5"/>
      <c r="NNA1" s="5"/>
      <c r="NNB1" s="5"/>
      <c r="NNC1" s="5"/>
      <c r="NNE1" s="5"/>
      <c r="NNF1" s="5"/>
      <c r="NNG1" s="5"/>
      <c r="NNI1" s="5"/>
      <c r="NNJ1" s="5"/>
      <c r="NNK1" s="5"/>
      <c r="NNM1" s="5"/>
      <c r="NNN1" s="5"/>
      <c r="NNO1" s="5"/>
      <c r="NNQ1" s="5"/>
      <c r="NNR1" s="5"/>
      <c r="NNS1" s="5"/>
      <c r="NNU1" s="5"/>
      <c r="NNV1" s="5"/>
      <c r="NNW1" s="5"/>
      <c r="NNY1" s="5"/>
      <c r="NNZ1" s="5"/>
      <c r="NOA1" s="5"/>
      <c r="NOC1" s="5"/>
      <c r="NOD1" s="5"/>
      <c r="NOE1" s="5"/>
      <c r="NOG1" s="5"/>
      <c r="NOH1" s="5"/>
      <c r="NOI1" s="5"/>
      <c r="NOK1" s="5"/>
      <c r="NOL1" s="5"/>
      <c r="NOM1" s="5"/>
      <c r="NOO1" s="5"/>
      <c r="NOP1" s="5"/>
      <c r="NOQ1" s="5"/>
      <c r="NOS1" s="5"/>
      <c r="NOT1" s="5"/>
      <c r="NOU1" s="5"/>
      <c r="NOW1" s="5"/>
      <c r="NOX1" s="5"/>
      <c r="NOY1" s="5"/>
      <c r="NPA1" s="5"/>
      <c r="NPB1" s="5"/>
      <c r="NPC1" s="5"/>
      <c r="NPE1" s="5"/>
      <c r="NPF1" s="5"/>
      <c r="NPG1" s="5"/>
      <c r="NPI1" s="5"/>
      <c r="NPJ1" s="5"/>
      <c r="NPK1" s="5"/>
      <c r="NPM1" s="5"/>
      <c r="NPN1" s="5"/>
      <c r="NPO1" s="5"/>
      <c r="NPQ1" s="5"/>
      <c r="NPR1" s="5"/>
      <c r="NPS1" s="5"/>
      <c r="NPU1" s="5"/>
      <c r="NPV1" s="5"/>
      <c r="NPW1" s="5"/>
      <c r="NPY1" s="5"/>
      <c r="NPZ1" s="5"/>
      <c r="NQA1" s="5"/>
      <c r="NQC1" s="5"/>
      <c r="NQD1" s="5"/>
      <c r="NQE1" s="5"/>
      <c r="NQG1" s="5"/>
      <c r="NQH1" s="5"/>
      <c r="NQI1" s="5"/>
      <c r="NQK1" s="5"/>
      <c r="NQL1" s="5"/>
      <c r="NQM1" s="5"/>
      <c r="NQO1" s="5"/>
      <c r="NQP1" s="5"/>
      <c r="NQQ1" s="5"/>
      <c r="NQS1" s="5"/>
      <c r="NQT1" s="5"/>
      <c r="NQU1" s="5"/>
      <c r="NQW1" s="5"/>
      <c r="NQX1" s="5"/>
      <c r="NQY1" s="5"/>
      <c r="NRA1" s="5"/>
      <c r="NRB1" s="5"/>
      <c r="NRC1" s="5"/>
      <c r="NRE1" s="5"/>
      <c r="NRF1" s="5"/>
      <c r="NRG1" s="5"/>
      <c r="NRI1" s="5"/>
      <c r="NRJ1" s="5"/>
      <c r="NRK1" s="5"/>
      <c r="NRM1" s="5"/>
      <c r="NRN1" s="5"/>
      <c r="NRO1" s="5"/>
      <c r="NRQ1" s="5"/>
      <c r="NRR1" s="5"/>
      <c r="NRS1" s="5"/>
      <c r="NRU1" s="5"/>
      <c r="NRV1" s="5"/>
      <c r="NRW1" s="5"/>
      <c r="NRY1" s="5"/>
      <c r="NRZ1" s="5"/>
      <c r="NSA1" s="5"/>
      <c r="NSC1" s="5"/>
      <c r="NSD1" s="5"/>
      <c r="NSE1" s="5"/>
      <c r="NSG1" s="5"/>
      <c r="NSH1" s="5"/>
      <c r="NSI1" s="5"/>
      <c r="NSK1" s="5"/>
      <c r="NSL1" s="5"/>
      <c r="NSM1" s="5"/>
      <c r="NSO1" s="5"/>
      <c r="NSP1" s="5"/>
      <c r="NSQ1" s="5"/>
      <c r="NSS1" s="5"/>
      <c r="NST1" s="5"/>
      <c r="NSU1" s="5"/>
      <c r="NSW1" s="5"/>
      <c r="NSX1" s="5"/>
      <c r="NSY1" s="5"/>
      <c r="NTA1" s="5"/>
      <c r="NTB1" s="5"/>
      <c r="NTC1" s="5"/>
      <c r="NTE1" s="5"/>
      <c r="NTF1" s="5"/>
      <c r="NTG1" s="5"/>
      <c r="NTI1" s="5"/>
      <c r="NTJ1" s="5"/>
      <c r="NTK1" s="5"/>
      <c r="NTM1" s="5"/>
      <c r="NTN1" s="5"/>
      <c r="NTO1" s="5"/>
      <c r="NTQ1" s="5"/>
      <c r="NTR1" s="5"/>
      <c r="NTS1" s="5"/>
      <c r="NTU1" s="5"/>
      <c r="NTV1" s="5"/>
      <c r="NTW1" s="5"/>
      <c r="NTY1" s="5"/>
      <c r="NTZ1" s="5"/>
      <c r="NUA1" s="5"/>
      <c r="NUC1" s="5"/>
      <c r="NUD1" s="5"/>
      <c r="NUE1" s="5"/>
      <c r="NUG1" s="5"/>
      <c r="NUH1" s="5"/>
      <c r="NUI1" s="5"/>
      <c r="NUK1" s="5"/>
      <c r="NUL1" s="5"/>
      <c r="NUM1" s="5"/>
      <c r="NUO1" s="5"/>
      <c r="NUP1" s="5"/>
      <c r="NUQ1" s="5"/>
      <c r="NUS1" s="5"/>
      <c r="NUT1" s="5"/>
      <c r="NUU1" s="5"/>
      <c r="NUW1" s="5"/>
      <c r="NUX1" s="5"/>
      <c r="NUY1" s="5"/>
      <c r="NVA1" s="5"/>
      <c r="NVB1" s="5"/>
      <c r="NVC1" s="5"/>
      <c r="NVE1" s="5"/>
      <c r="NVF1" s="5"/>
      <c r="NVG1" s="5"/>
      <c r="NVI1" s="5"/>
      <c r="NVJ1" s="5"/>
      <c r="NVK1" s="5"/>
      <c r="NVM1" s="5"/>
      <c r="NVN1" s="5"/>
      <c r="NVO1" s="5"/>
      <c r="NVQ1" s="5"/>
      <c r="NVR1" s="5"/>
      <c r="NVS1" s="5"/>
      <c r="NVU1" s="5"/>
      <c r="NVV1" s="5"/>
      <c r="NVW1" s="5"/>
      <c r="NVY1" s="5"/>
      <c r="NVZ1" s="5"/>
      <c r="NWA1" s="5"/>
      <c r="NWC1" s="5"/>
      <c r="NWD1" s="5"/>
      <c r="NWE1" s="5"/>
      <c r="NWG1" s="5"/>
      <c r="NWH1" s="5"/>
      <c r="NWI1" s="5"/>
      <c r="NWK1" s="5"/>
      <c r="NWL1" s="5"/>
      <c r="NWM1" s="5"/>
      <c r="NWO1" s="5"/>
      <c r="NWP1" s="5"/>
      <c r="NWQ1" s="5"/>
      <c r="NWS1" s="5"/>
      <c r="NWT1" s="5"/>
      <c r="NWU1" s="5"/>
      <c r="NWW1" s="5"/>
      <c r="NWX1" s="5"/>
      <c r="NWY1" s="5"/>
      <c r="NXA1" s="5"/>
      <c r="NXB1" s="5"/>
      <c r="NXC1" s="5"/>
      <c r="NXE1" s="5"/>
      <c r="NXF1" s="5"/>
      <c r="NXG1" s="5"/>
      <c r="NXI1" s="5"/>
      <c r="NXJ1" s="5"/>
      <c r="NXK1" s="5"/>
      <c r="NXM1" s="5"/>
      <c r="NXN1" s="5"/>
      <c r="NXO1" s="5"/>
      <c r="NXQ1" s="5"/>
      <c r="NXR1" s="5"/>
      <c r="NXS1" s="5"/>
      <c r="NXU1" s="5"/>
      <c r="NXV1" s="5"/>
      <c r="NXW1" s="5"/>
      <c r="NXY1" s="5"/>
      <c r="NXZ1" s="5"/>
      <c r="NYA1" s="5"/>
      <c r="NYC1" s="5"/>
      <c r="NYD1" s="5"/>
      <c r="NYE1" s="5"/>
      <c r="NYG1" s="5"/>
      <c r="NYH1" s="5"/>
      <c r="NYI1" s="5"/>
      <c r="NYK1" s="5"/>
      <c r="NYL1" s="5"/>
      <c r="NYM1" s="5"/>
      <c r="NYO1" s="5"/>
      <c r="NYP1" s="5"/>
      <c r="NYQ1" s="5"/>
      <c r="NYS1" s="5"/>
      <c r="NYT1" s="5"/>
      <c r="NYU1" s="5"/>
      <c r="NYW1" s="5"/>
      <c r="NYX1" s="5"/>
      <c r="NYY1" s="5"/>
      <c r="NZA1" s="5"/>
      <c r="NZB1" s="5"/>
      <c r="NZC1" s="5"/>
      <c r="NZE1" s="5"/>
      <c r="NZF1" s="5"/>
      <c r="NZG1" s="5"/>
      <c r="NZI1" s="5"/>
      <c r="NZJ1" s="5"/>
      <c r="NZK1" s="5"/>
      <c r="NZM1" s="5"/>
      <c r="NZN1" s="5"/>
      <c r="NZO1" s="5"/>
      <c r="NZQ1" s="5"/>
      <c r="NZR1" s="5"/>
      <c r="NZS1" s="5"/>
      <c r="NZU1" s="5"/>
      <c r="NZV1" s="5"/>
      <c r="NZW1" s="5"/>
      <c r="NZY1" s="5"/>
      <c r="NZZ1" s="5"/>
      <c r="OAA1" s="5"/>
      <c r="OAC1" s="5"/>
      <c r="OAD1" s="5"/>
      <c r="OAE1" s="5"/>
      <c r="OAG1" s="5"/>
      <c r="OAH1" s="5"/>
      <c r="OAI1" s="5"/>
      <c r="OAK1" s="5"/>
      <c r="OAL1" s="5"/>
      <c r="OAM1" s="5"/>
      <c r="OAO1" s="5"/>
      <c r="OAP1" s="5"/>
      <c r="OAQ1" s="5"/>
      <c r="OAS1" s="5"/>
      <c r="OAT1" s="5"/>
      <c r="OAU1" s="5"/>
      <c r="OAW1" s="5"/>
      <c r="OAX1" s="5"/>
      <c r="OAY1" s="5"/>
      <c r="OBA1" s="5"/>
      <c r="OBB1" s="5"/>
      <c r="OBC1" s="5"/>
      <c r="OBE1" s="5"/>
      <c r="OBF1" s="5"/>
      <c r="OBG1" s="5"/>
      <c r="OBI1" s="5"/>
      <c r="OBJ1" s="5"/>
      <c r="OBK1" s="5"/>
      <c r="OBM1" s="5"/>
      <c r="OBN1" s="5"/>
      <c r="OBO1" s="5"/>
      <c r="OBQ1" s="5"/>
      <c r="OBR1" s="5"/>
      <c r="OBS1" s="5"/>
      <c r="OBU1" s="5"/>
      <c r="OBV1" s="5"/>
      <c r="OBW1" s="5"/>
      <c r="OBY1" s="5"/>
      <c r="OBZ1" s="5"/>
      <c r="OCA1" s="5"/>
      <c r="OCC1" s="5"/>
      <c r="OCD1" s="5"/>
      <c r="OCE1" s="5"/>
      <c r="OCG1" s="5"/>
      <c r="OCH1" s="5"/>
      <c r="OCI1" s="5"/>
      <c r="OCK1" s="5"/>
      <c r="OCL1" s="5"/>
      <c r="OCM1" s="5"/>
      <c r="OCO1" s="5"/>
      <c r="OCP1" s="5"/>
      <c r="OCQ1" s="5"/>
      <c r="OCS1" s="5"/>
      <c r="OCT1" s="5"/>
      <c r="OCU1" s="5"/>
      <c r="OCW1" s="5"/>
      <c r="OCX1" s="5"/>
      <c r="OCY1" s="5"/>
      <c r="ODA1" s="5"/>
      <c r="ODB1" s="5"/>
      <c r="ODC1" s="5"/>
      <c r="ODE1" s="5"/>
      <c r="ODF1" s="5"/>
      <c r="ODG1" s="5"/>
      <c r="ODI1" s="5"/>
      <c r="ODJ1" s="5"/>
      <c r="ODK1" s="5"/>
      <c r="ODM1" s="5"/>
      <c r="ODN1" s="5"/>
      <c r="ODO1" s="5"/>
      <c r="ODQ1" s="5"/>
      <c r="ODR1" s="5"/>
      <c r="ODS1" s="5"/>
      <c r="ODU1" s="5"/>
      <c r="ODV1" s="5"/>
      <c r="ODW1" s="5"/>
      <c r="ODY1" s="5"/>
      <c r="ODZ1" s="5"/>
      <c r="OEA1" s="5"/>
      <c r="OEC1" s="5"/>
      <c r="OED1" s="5"/>
      <c r="OEE1" s="5"/>
      <c r="OEG1" s="5"/>
      <c r="OEH1" s="5"/>
      <c r="OEI1" s="5"/>
      <c r="OEK1" s="5"/>
      <c r="OEL1" s="5"/>
      <c r="OEM1" s="5"/>
      <c r="OEO1" s="5"/>
      <c r="OEP1" s="5"/>
      <c r="OEQ1" s="5"/>
      <c r="OES1" s="5"/>
      <c r="OET1" s="5"/>
      <c r="OEU1" s="5"/>
      <c r="OEW1" s="5"/>
      <c r="OEX1" s="5"/>
      <c r="OEY1" s="5"/>
      <c r="OFA1" s="5"/>
      <c r="OFB1" s="5"/>
      <c r="OFC1" s="5"/>
      <c r="OFE1" s="5"/>
      <c r="OFF1" s="5"/>
      <c r="OFG1" s="5"/>
      <c r="OFI1" s="5"/>
      <c r="OFJ1" s="5"/>
      <c r="OFK1" s="5"/>
      <c r="OFM1" s="5"/>
      <c r="OFN1" s="5"/>
      <c r="OFO1" s="5"/>
      <c r="OFQ1" s="5"/>
      <c r="OFR1" s="5"/>
      <c r="OFS1" s="5"/>
      <c r="OFU1" s="5"/>
      <c r="OFV1" s="5"/>
      <c r="OFW1" s="5"/>
      <c r="OFY1" s="5"/>
      <c r="OFZ1" s="5"/>
      <c r="OGA1" s="5"/>
      <c r="OGC1" s="5"/>
      <c r="OGD1" s="5"/>
      <c r="OGE1" s="5"/>
      <c r="OGG1" s="5"/>
      <c r="OGH1" s="5"/>
      <c r="OGI1" s="5"/>
      <c r="OGK1" s="5"/>
      <c r="OGL1" s="5"/>
      <c r="OGM1" s="5"/>
      <c r="OGO1" s="5"/>
      <c r="OGP1" s="5"/>
      <c r="OGQ1" s="5"/>
      <c r="OGS1" s="5"/>
      <c r="OGT1" s="5"/>
      <c r="OGU1" s="5"/>
      <c r="OGW1" s="5"/>
      <c r="OGX1" s="5"/>
      <c r="OGY1" s="5"/>
      <c r="OHA1" s="5"/>
      <c r="OHB1" s="5"/>
      <c r="OHC1" s="5"/>
      <c r="OHE1" s="5"/>
      <c r="OHF1" s="5"/>
      <c r="OHG1" s="5"/>
      <c r="OHI1" s="5"/>
      <c r="OHJ1" s="5"/>
      <c r="OHK1" s="5"/>
      <c r="OHM1" s="5"/>
      <c r="OHN1" s="5"/>
      <c r="OHO1" s="5"/>
      <c r="OHQ1" s="5"/>
      <c r="OHR1" s="5"/>
      <c r="OHS1" s="5"/>
      <c r="OHU1" s="5"/>
      <c r="OHV1" s="5"/>
      <c r="OHW1" s="5"/>
      <c r="OHY1" s="5"/>
      <c r="OHZ1" s="5"/>
      <c r="OIA1" s="5"/>
      <c r="OIC1" s="5"/>
      <c r="OID1" s="5"/>
      <c r="OIE1" s="5"/>
      <c r="OIG1" s="5"/>
      <c r="OIH1" s="5"/>
      <c r="OII1" s="5"/>
      <c r="OIK1" s="5"/>
      <c r="OIL1" s="5"/>
      <c r="OIM1" s="5"/>
      <c r="OIO1" s="5"/>
      <c r="OIP1" s="5"/>
      <c r="OIQ1" s="5"/>
      <c r="OIS1" s="5"/>
      <c r="OIT1" s="5"/>
      <c r="OIU1" s="5"/>
      <c r="OIW1" s="5"/>
      <c r="OIX1" s="5"/>
      <c r="OIY1" s="5"/>
      <c r="OJA1" s="5"/>
      <c r="OJB1" s="5"/>
      <c r="OJC1" s="5"/>
      <c r="OJE1" s="5"/>
      <c r="OJF1" s="5"/>
      <c r="OJG1" s="5"/>
      <c r="OJI1" s="5"/>
      <c r="OJJ1" s="5"/>
      <c r="OJK1" s="5"/>
      <c r="OJM1" s="5"/>
      <c r="OJN1" s="5"/>
      <c r="OJO1" s="5"/>
      <c r="OJQ1" s="5"/>
      <c r="OJR1" s="5"/>
      <c r="OJS1" s="5"/>
      <c r="OJU1" s="5"/>
      <c r="OJV1" s="5"/>
      <c r="OJW1" s="5"/>
      <c r="OJY1" s="5"/>
      <c r="OJZ1" s="5"/>
      <c r="OKA1" s="5"/>
      <c r="OKC1" s="5"/>
      <c r="OKD1" s="5"/>
      <c r="OKE1" s="5"/>
      <c r="OKG1" s="5"/>
      <c r="OKH1" s="5"/>
      <c r="OKI1" s="5"/>
      <c r="OKK1" s="5"/>
      <c r="OKL1" s="5"/>
      <c r="OKM1" s="5"/>
      <c r="OKO1" s="5"/>
      <c r="OKP1" s="5"/>
      <c r="OKQ1" s="5"/>
      <c r="OKS1" s="5"/>
      <c r="OKT1" s="5"/>
      <c r="OKU1" s="5"/>
      <c r="OKW1" s="5"/>
      <c r="OKX1" s="5"/>
      <c r="OKY1" s="5"/>
      <c r="OLA1" s="5"/>
      <c r="OLB1" s="5"/>
      <c r="OLC1" s="5"/>
      <c r="OLE1" s="5"/>
      <c r="OLF1" s="5"/>
      <c r="OLG1" s="5"/>
      <c r="OLI1" s="5"/>
      <c r="OLJ1" s="5"/>
      <c r="OLK1" s="5"/>
      <c r="OLM1" s="5"/>
      <c r="OLN1" s="5"/>
      <c r="OLO1" s="5"/>
      <c r="OLQ1" s="5"/>
      <c r="OLR1" s="5"/>
      <c r="OLS1" s="5"/>
      <c r="OLU1" s="5"/>
      <c r="OLV1" s="5"/>
      <c r="OLW1" s="5"/>
      <c r="OLY1" s="5"/>
      <c r="OLZ1" s="5"/>
      <c r="OMA1" s="5"/>
      <c r="OMC1" s="5"/>
      <c r="OMD1" s="5"/>
      <c r="OME1" s="5"/>
      <c r="OMG1" s="5"/>
      <c r="OMH1" s="5"/>
      <c r="OMI1" s="5"/>
      <c r="OMK1" s="5"/>
      <c r="OML1" s="5"/>
      <c r="OMM1" s="5"/>
      <c r="OMO1" s="5"/>
      <c r="OMP1" s="5"/>
      <c r="OMQ1" s="5"/>
      <c r="OMS1" s="5"/>
      <c r="OMT1" s="5"/>
      <c r="OMU1" s="5"/>
      <c r="OMW1" s="5"/>
      <c r="OMX1" s="5"/>
      <c r="OMY1" s="5"/>
      <c r="ONA1" s="5"/>
      <c r="ONB1" s="5"/>
      <c r="ONC1" s="5"/>
      <c r="ONE1" s="5"/>
      <c r="ONF1" s="5"/>
      <c r="ONG1" s="5"/>
      <c r="ONI1" s="5"/>
      <c r="ONJ1" s="5"/>
      <c r="ONK1" s="5"/>
      <c r="ONM1" s="5"/>
      <c r="ONN1" s="5"/>
      <c r="ONO1" s="5"/>
      <c r="ONQ1" s="5"/>
      <c r="ONR1" s="5"/>
      <c r="ONS1" s="5"/>
      <c r="ONU1" s="5"/>
      <c r="ONV1" s="5"/>
      <c r="ONW1" s="5"/>
      <c r="ONY1" s="5"/>
      <c r="ONZ1" s="5"/>
      <c r="OOA1" s="5"/>
      <c r="OOC1" s="5"/>
      <c r="OOD1" s="5"/>
      <c r="OOE1" s="5"/>
      <c r="OOG1" s="5"/>
      <c r="OOH1" s="5"/>
      <c r="OOI1" s="5"/>
      <c r="OOK1" s="5"/>
      <c r="OOL1" s="5"/>
      <c r="OOM1" s="5"/>
      <c r="OOO1" s="5"/>
      <c r="OOP1" s="5"/>
      <c r="OOQ1" s="5"/>
      <c r="OOS1" s="5"/>
      <c r="OOT1" s="5"/>
      <c r="OOU1" s="5"/>
      <c r="OOW1" s="5"/>
      <c r="OOX1" s="5"/>
      <c r="OOY1" s="5"/>
      <c r="OPA1" s="5"/>
      <c r="OPB1" s="5"/>
      <c r="OPC1" s="5"/>
      <c r="OPE1" s="5"/>
      <c r="OPF1" s="5"/>
      <c r="OPG1" s="5"/>
      <c r="OPI1" s="5"/>
      <c r="OPJ1" s="5"/>
      <c r="OPK1" s="5"/>
      <c r="OPM1" s="5"/>
      <c r="OPN1" s="5"/>
      <c r="OPO1" s="5"/>
      <c r="OPQ1" s="5"/>
      <c r="OPR1" s="5"/>
      <c r="OPS1" s="5"/>
      <c r="OPU1" s="5"/>
      <c r="OPV1" s="5"/>
      <c r="OPW1" s="5"/>
      <c r="OPY1" s="5"/>
      <c r="OPZ1" s="5"/>
      <c r="OQA1" s="5"/>
      <c r="OQC1" s="5"/>
      <c r="OQD1" s="5"/>
      <c r="OQE1" s="5"/>
      <c r="OQG1" s="5"/>
      <c r="OQH1" s="5"/>
      <c r="OQI1" s="5"/>
      <c r="OQK1" s="5"/>
      <c r="OQL1" s="5"/>
      <c r="OQM1" s="5"/>
      <c r="OQO1" s="5"/>
      <c r="OQP1" s="5"/>
      <c r="OQQ1" s="5"/>
      <c r="OQS1" s="5"/>
      <c r="OQT1" s="5"/>
      <c r="OQU1" s="5"/>
      <c r="OQW1" s="5"/>
      <c r="OQX1" s="5"/>
      <c r="OQY1" s="5"/>
      <c r="ORA1" s="5"/>
      <c r="ORB1" s="5"/>
      <c r="ORC1" s="5"/>
      <c r="ORE1" s="5"/>
      <c r="ORF1" s="5"/>
      <c r="ORG1" s="5"/>
      <c r="ORI1" s="5"/>
      <c r="ORJ1" s="5"/>
      <c r="ORK1" s="5"/>
      <c r="ORM1" s="5"/>
      <c r="ORN1" s="5"/>
      <c r="ORO1" s="5"/>
      <c r="ORQ1" s="5"/>
      <c r="ORR1" s="5"/>
      <c r="ORS1" s="5"/>
      <c r="ORU1" s="5"/>
      <c r="ORV1" s="5"/>
      <c r="ORW1" s="5"/>
      <c r="ORY1" s="5"/>
      <c r="ORZ1" s="5"/>
      <c r="OSA1" s="5"/>
      <c r="OSC1" s="5"/>
      <c r="OSD1" s="5"/>
      <c r="OSE1" s="5"/>
      <c r="OSG1" s="5"/>
      <c r="OSH1" s="5"/>
      <c r="OSI1" s="5"/>
      <c r="OSK1" s="5"/>
      <c r="OSL1" s="5"/>
      <c r="OSM1" s="5"/>
      <c r="OSO1" s="5"/>
      <c r="OSP1" s="5"/>
      <c r="OSQ1" s="5"/>
      <c r="OSS1" s="5"/>
      <c r="OST1" s="5"/>
      <c r="OSU1" s="5"/>
      <c r="OSW1" s="5"/>
      <c r="OSX1" s="5"/>
      <c r="OSY1" s="5"/>
      <c r="OTA1" s="5"/>
      <c r="OTB1" s="5"/>
      <c r="OTC1" s="5"/>
      <c r="OTE1" s="5"/>
      <c r="OTF1" s="5"/>
      <c r="OTG1" s="5"/>
      <c r="OTI1" s="5"/>
      <c r="OTJ1" s="5"/>
      <c r="OTK1" s="5"/>
      <c r="OTM1" s="5"/>
      <c r="OTN1" s="5"/>
      <c r="OTO1" s="5"/>
      <c r="OTQ1" s="5"/>
      <c r="OTR1" s="5"/>
      <c r="OTS1" s="5"/>
      <c r="OTU1" s="5"/>
      <c r="OTV1" s="5"/>
      <c r="OTW1" s="5"/>
      <c r="OTY1" s="5"/>
      <c r="OTZ1" s="5"/>
      <c r="OUA1" s="5"/>
      <c r="OUC1" s="5"/>
      <c r="OUD1" s="5"/>
      <c r="OUE1" s="5"/>
      <c r="OUG1" s="5"/>
      <c r="OUH1" s="5"/>
      <c r="OUI1" s="5"/>
      <c r="OUK1" s="5"/>
      <c r="OUL1" s="5"/>
      <c r="OUM1" s="5"/>
      <c r="OUO1" s="5"/>
      <c r="OUP1" s="5"/>
      <c r="OUQ1" s="5"/>
      <c r="OUS1" s="5"/>
      <c r="OUT1" s="5"/>
      <c r="OUU1" s="5"/>
      <c r="OUW1" s="5"/>
      <c r="OUX1" s="5"/>
      <c r="OUY1" s="5"/>
      <c r="OVA1" s="5"/>
      <c r="OVB1" s="5"/>
      <c r="OVC1" s="5"/>
      <c r="OVE1" s="5"/>
      <c r="OVF1" s="5"/>
      <c r="OVG1" s="5"/>
      <c r="OVI1" s="5"/>
      <c r="OVJ1" s="5"/>
      <c r="OVK1" s="5"/>
      <c r="OVM1" s="5"/>
      <c r="OVN1" s="5"/>
      <c r="OVO1" s="5"/>
      <c r="OVQ1" s="5"/>
      <c r="OVR1" s="5"/>
      <c r="OVS1" s="5"/>
      <c r="OVU1" s="5"/>
      <c r="OVV1" s="5"/>
      <c r="OVW1" s="5"/>
      <c r="OVY1" s="5"/>
      <c r="OVZ1" s="5"/>
      <c r="OWA1" s="5"/>
      <c r="OWC1" s="5"/>
      <c r="OWD1" s="5"/>
      <c r="OWE1" s="5"/>
      <c r="OWG1" s="5"/>
      <c r="OWH1" s="5"/>
      <c r="OWI1" s="5"/>
      <c r="OWK1" s="5"/>
      <c r="OWL1" s="5"/>
      <c r="OWM1" s="5"/>
      <c r="OWO1" s="5"/>
      <c r="OWP1" s="5"/>
      <c r="OWQ1" s="5"/>
      <c r="OWS1" s="5"/>
      <c r="OWT1" s="5"/>
      <c r="OWU1" s="5"/>
      <c r="OWW1" s="5"/>
      <c r="OWX1" s="5"/>
      <c r="OWY1" s="5"/>
      <c r="OXA1" s="5"/>
      <c r="OXB1" s="5"/>
      <c r="OXC1" s="5"/>
      <c r="OXE1" s="5"/>
      <c r="OXF1" s="5"/>
      <c r="OXG1" s="5"/>
      <c r="OXI1" s="5"/>
      <c r="OXJ1" s="5"/>
      <c r="OXK1" s="5"/>
      <c r="OXM1" s="5"/>
      <c r="OXN1" s="5"/>
      <c r="OXO1" s="5"/>
      <c r="OXQ1" s="5"/>
      <c r="OXR1" s="5"/>
      <c r="OXS1" s="5"/>
      <c r="OXU1" s="5"/>
      <c r="OXV1" s="5"/>
      <c r="OXW1" s="5"/>
      <c r="OXY1" s="5"/>
      <c r="OXZ1" s="5"/>
      <c r="OYA1" s="5"/>
      <c r="OYC1" s="5"/>
      <c r="OYD1" s="5"/>
      <c r="OYE1" s="5"/>
      <c r="OYG1" s="5"/>
      <c r="OYH1" s="5"/>
      <c r="OYI1" s="5"/>
      <c r="OYK1" s="5"/>
      <c r="OYL1" s="5"/>
      <c r="OYM1" s="5"/>
      <c r="OYO1" s="5"/>
      <c r="OYP1" s="5"/>
      <c r="OYQ1" s="5"/>
      <c r="OYS1" s="5"/>
      <c r="OYT1" s="5"/>
      <c r="OYU1" s="5"/>
      <c r="OYW1" s="5"/>
      <c r="OYX1" s="5"/>
      <c r="OYY1" s="5"/>
      <c r="OZA1" s="5"/>
      <c r="OZB1" s="5"/>
      <c r="OZC1" s="5"/>
      <c r="OZE1" s="5"/>
      <c r="OZF1" s="5"/>
      <c r="OZG1" s="5"/>
      <c r="OZI1" s="5"/>
      <c r="OZJ1" s="5"/>
      <c r="OZK1" s="5"/>
      <c r="OZM1" s="5"/>
      <c r="OZN1" s="5"/>
      <c r="OZO1" s="5"/>
      <c r="OZQ1" s="5"/>
      <c r="OZR1" s="5"/>
      <c r="OZS1" s="5"/>
      <c r="OZU1" s="5"/>
      <c r="OZV1" s="5"/>
      <c r="OZW1" s="5"/>
      <c r="OZY1" s="5"/>
      <c r="OZZ1" s="5"/>
      <c r="PAA1" s="5"/>
      <c r="PAC1" s="5"/>
      <c r="PAD1" s="5"/>
      <c r="PAE1" s="5"/>
      <c r="PAG1" s="5"/>
      <c r="PAH1" s="5"/>
      <c r="PAI1" s="5"/>
      <c r="PAK1" s="5"/>
      <c r="PAL1" s="5"/>
      <c r="PAM1" s="5"/>
      <c r="PAO1" s="5"/>
      <c r="PAP1" s="5"/>
      <c r="PAQ1" s="5"/>
      <c r="PAS1" s="5"/>
      <c r="PAT1" s="5"/>
      <c r="PAU1" s="5"/>
      <c r="PAW1" s="5"/>
      <c r="PAX1" s="5"/>
      <c r="PAY1" s="5"/>
      <c r="PBA1" s="5"/>
      <c r="PBB1" s="5"/>
      <c r="PBC1" s="5"/>
      <c r="PBE1" s="5"/>
      <c r="PBF1" s="5"/>
      <c r="PBG1" s="5"/>
      <c r="PBI1" s="5"/>
      <c r="PBJ1" s="5"/>
      <c r="PBK1" s="5"/>
      <c r="PBM1" s="5"/>
      <c r="PBN1" s="5"/>
      <c r="PBO1" s="5"/>
      <c r="PBQ1" s="5"/>
      <c r="PBR1" s="5"/>
      <c r="PBS1" s="5"/>
      <c r="PBU1" s="5"/>
      <c r="PBV1" s="5"/>
      <c r="PBW1" s="5"/>
      <c r="PBY1" s="5"/>
      <c r="PBZ1" s="5"/>
      <c r="PCA1" s="5"/>
      <c r="PCC1" s="5"/>
      <c r="PCD1" s="5"/>
      <c r="PCE1" s="5"/>
      <c r="PCG1" s="5"/>
      <c r="PCH1" s="5"/>
      <c r="PCI1" s="5"/>
      <c r="PCK1" s="5"/>
      <c r="PCL1" s="5"/>
      <c r="PCM1" s="5"/>
      <c r="PCO1" s="5"/>
      <c r="PCP1" s="5"/>
      <c r="PCQ1" s="5"/>
      <c r="PCS1" s="5"/>
      <c r="PCT1" s="5"/>
      <c r="PCU1" s="5"/>
      <c r="PCW1" s="5"/>
      <c r="PCX1" s="5"/>
      <c r="PCY1" s="5"/>
      <c r="PDA1" s="5"/>
      <c r="PDB1" s="5"/>
      <c r="PDC1" s="5"/>
      <c r="PDE1" s="5"/>
      <c r="PDF1" s="5"/>
      <c r="PDG1" s="5"/>
      <c r="PDI1" s="5"/>
      <c r="PDJ1" s="5"/>
      <c r="PDK1" s="5"/>
      <c r="PDM1" s="5"/>
      <c r="PDN1" s="5"/>
      <c r="PDO1" s="5"/>
      <c r="PDQ1" s="5"/>
      <c r="PDR1" s="5"/>
      <c r="PDS1" s="5"/>
      <c r="PDU1" s="5"/>
      <c r="PDV1" s="5"/>
      <c r="PDW1" s="5"/>
      <c r="PDY1" s="5"/>
      <c r="PDZ1" s="5"/>
      <c r="PEA1" s="5"/>
      <c r="PEC1" s="5"/>
      <c r="PED1" s="5"/>
      <c r="PEE1" s="5"/>
      <c r="PEG1" s="5"/>
      <c r="PEH1" s="5"/>
      <c r="PEI1" s="5"/>
      <c r="PEK1" s="5"/>
      <c r="PEL1" s="5"/>
      <c r="PEM1" s="5"/>
      <c r="PEO1" s="5"/>
      <c r="PEP1" s="5"/>
      <c r="PEQ1" s="5"/>
      <c r="PES1" s="5"/>
      <c r="PET1" s="5"/>
      <c r="PEU1" s="5"/>
      <c r="PEW1" s="5"/>
      <c r="PEX1" s="5"/>
      <c r="PEY1" s="5"/>
      <c r="PFA1" s="5"/>
      <c r="PFB1" s="5"/>
      <c r="PFC1" s="5"/>
      <c r="PFE1" s="5"/>
      <c r="PFF1" s="5"/>
      <c r="PFG1" s="5"/>
      <c r="PFI1" s="5"/>
      <c r="PFJ1" s="5"/>
      <c r="PFK1" s="5"/>
      <c r="PFM1" s="5"/>
      <c r="PFN1" s="5"/>
      <c r="PFO1" s="5"/>
      <c r="PFQ1" s="5"/>
      <c r="PFR1" s="5"/>
      <c r="PFS1" s="5"/>
      <c r="PFU1" s="5"/>
      <c r="PFV1" s="5"/>
      <c r="PFW1" s="5"/>
      <c r="PFY1" s="5"/>
      <c r="PFZ1" s="5"/>
      <c r="PGA1" s="5"/>
      <c r="PGC1" s="5"/>
      <c r="PGD1" s="5"/>
      <c r="PGE1" s="5"/>
      <c r="PGG1" s="5"/>
      <c r="PGH1" s="5"/>
      <c r="PGI1" s="5"/>
      <c r="PGK1" s="5"/>
      <c r="PGL1" s="5"/>
      <c r="PGM1" s="5"/>
      <c r="PGO1" s="5"/>
      <c r="PGP1" s="5"/>
      <c r="PGQ1" s="5"/>
      <c r="PGS1" s="5"/>
      <c r="PGT1" s="5"/>
      <c r="PGU1" s="5"/>
      <c r="PGW1" s="5"/>
      <c r="PGX1" s="5"/>
      <c r="PGY1" s="5"/>
      <c r="PHA1" s="5"/>
      <c r="PHB1" s="5"/>
      <c r="PHC1" s="5"/>
      <c r="PHE1" s="5"/>
      <c r="PHF1" s="5"/>
      <c r="PHG1" s="5"/>
      <c r="PHI1" s="5"/>
      <c r="PHJ1" s="5"/>
      <c r="PHK1" s="5"/>
      <c r="PHM1" s="5"/>
      <c r="PHN1" s="5"/>
      <c r="PHO1" s="5"/>
      <c r="PHQ1" s="5"/>
      <c r="PHR1" s="5"/>
      <c r="PHS1" s="5"/>
      <c r="PHU1" s="5"/>
      <c r="PHV1" s="5"/>
      <c r="PHW1" s="5"/>
      <c r="PHY1" s="5"/>
      <c r="PHZ1" s="5"/>
      <c r="PIA1" s="5"/>
      <c r="PIC1" s="5"/>
      <c r="PID1" s="5"/>
      <c r="PIE1" s="5"/>
      <c r="PIG1" s="5"/>
      <c r="PIH1" s="5"/>
      <c r="PII1" s="5"/>
      <c r="PIK1" s="5"/>
      <c r="PIL1" s="5"/>
      <c r="PIM1" s="5"/>
      <c r="PIO1" s="5"/>
      <c r="PIP1" s="5"/>
      <c r="PIQ1" s="5"/>
      <c r="PIS1" s="5"/>
      <c r="PIT1" s="5"/>
      <c r="PIU1" s="5"/>
      <c r="PIW1" s="5"/>
      <c r="PIX1" s="5"/>
      <c r="PIY1" s="5"/>
      <c r="PJA1" s="5"/>
      <c r="PJB1" s="5"/>
      <c r="PJC1" s="5"/>
      <c r="PJE1" s="5"/>
      <c r="PJF1" s="5"/>
      <c r="PJG1" s="5"/>
      <c r="PJI1" s="5"/>
      <c r="PJJ1" s="5"/>
      <c r="PJK1" s="5"/>
      <c r="PJM1" s="5"/>
      <c r="PJN1" s="5"/>
      <c r="PJO1" s="5"/>
      <c r="PJQ1" s="5"/>
      <c r="PJR1" s="5"/>
      <c r="PJS1" s="5"/>
      <c r="PJU1" s="5"/>
      <c r="PJV1" s="5"/>
      <c r="PJW1" s="5"/>
      <c r="PJY1" s="5"/>
      <c r="PJZ1" s="5"/>
      <c r="PKA1" s="5"/>
      <c r="PKC1" s="5"/>
      <c r="PKD1" s="5"/>
      <c r="PKE1" s="5"/>
      <c r="PKG1" s="5"/>
      <c r="PKH1" s="5"/>
      <c r="PKI1" s="5"/>
      <c r="PKK1" s="5"/>
      <c r="PKL1" s="5"/>
      <c r="PKM1" s="5"/>
      <c r="PKO1" s="5"/>
      <c r="PKP1" s="5"/>
      <c r="PKQ1" s="5"/>
      <c r="PKS1" s="5"/>
      <c r="PKT1" s="5"/>
      <c r="PKU1" s="5"/>
      <c r="PKW1" s="5"/>
      <c r="PKX1" s="5"/>
      <c r="PKY1" s="5"/>
      <c r="PLA1" s="5"/>
      <c r="PLB1" s="5"/>
      <c r="PLC1" s="5"/>
      <c r="PLE1" s="5"/>
      <c r="PLF1" s="5"/>
      <c r="PLG1" s="5"/>
      <c r="PLI1" s="5"/>
      <c r="PLJ1" s="5"/>
      <c r="PLK1" s="5"/>
      <c r="PLM1" s="5"/>
      <c r="PLN1" s="5"/>
      <c r="PLO1" s="5"/>
      <c r="PLQ1" s="5"/>
      <c r="PLR1" s="5"/>
      <c r="PLS1" s="5"/>
      <c r="PLU1" s="5"/>
      <c r="PLV1" s="5"/>
      <c r="PLW1" s="5"/>
      <c r="PLY1" s="5"/>
      <c r="PLZ1" s="5"/>
      <c r="PMA1" s="5"/>
      <c r="PMC1" s="5"/>
      <c r="PMD1" s="5"/>
      <c r="PME1" s="5"/>
      <c r="PMG1" s="5"/>
      <c r="PMH1" s="5"/>
      <c r="PMI1" s="5"/>
      <c r="PMK1" s="5"/>
      <c r="PML1" s="5"/>
      <c r="PMM1" s="5"/>
      <c r="PMO1" s="5"/>
      <c r="PMP1" s="5"/>
      <c r="PMQ1" s="5"/>
      <c r="PMS1" s="5"/>
      <c r="PMT1" s="5"/>
      <c r="PMU1" s="5"/>
      <c r="PMW1" s="5"/>
      <c r="PMX1" s="5"/>
      <c r="PMY1" s="5"/>
      <c r="PNA1" s="5"/>
      <c r="PNB1" s="5"/>
      <c r="PNC1" s="5"/>
      <c r="PNE1" s="5"/>
      <c r="PNF1" s="5"/>
      <c r="PNG1" s="5"/>
      <c r="PNI1" s="5"/>
      <c r="PNJ1" s="5"/>
      <c r="PNK1" s="5"/>
      <c r="PNM1" s="5"/>
      <c r="PNN1" s="5"/>
      <c r="PNO1" s="5"/>
      <c r="PNQ1" s="5"/>
      <c r="PNR1" s="5"/>
      <c r="PNS1" s="5"/>
      <c r="PNU1" s="5"/>
      <c r="PNV1" s="5"/>
      <c r="PNW1" s="5"/>
      <c r="PNY1" s="5"/>
      <c r="PNZ1" s="5"/>
      <c r="POA1" s="5"/>
      <c r="POC1" s="5"/>
      <c r="POD1" s="5"/>
      <c r="POE1" s="5"/>
      <c r="POG1" s="5"/>
      <c r="POH1" s="5"/>
      <c r="POI1" s="5"/>
      <c r="POK1" s="5"/>
      <c r="POL1" s="5"/>
      <c r="POM1" s="5"/>
      <c r="POO1" s="5"/>
      <c r="POP1" s="5"/>
      <c r="POQ1" s="5"/>
      <c r="POS1" s="5"/>
      <c r="POT1" s="5"/>
      <c r="POU1" s="5"/>
      <c r="POW1" s="5"/>
      <c r="POX1" s="5"/>
      <c r="POY1" s="5"/>
      <c r="PPA1" s="5"/>
      <c r="PPB1" s="5"/>
      <c r="PPC1" s="5"/>
      <c r="PPE1" s="5"/>
      <c r="PPF1" s="5"/>
      <c r="PPG1" s="5"/>
      <c r="PPI1" s="5"/>
      <c r="PPJ1" s="5"/>
      <c r="PPK1" s="5"/>
      <c r="PPM1" s="5"/>
      <c r="PPN1" s="5"/>
      <c r="PPO1" s="5"/>
      <c r="PPQ1" s="5"/>
      <c r="PPR1" s="5"/>
      <c r="PPS1" s="5"/>
      <c r="PPU1" s="5"/>
      <c r="PPV1" s="5"/>
      <c r="PPW1" s="5"/>
      <c r="PPY1" s="5"/>
      <c r="PPZ1" s="5"/>
      <c r="PQA1" s="5"/>
      <c r="PQC1" s="5"/>
      <c r="PQD1" s="5"/>
      <c r="PQE1" s="5"/>
      <c r="PQG1" s="5"/>
      <c r="PQH1" s="5"/>
      <c r="PQI1" s="5"/>
      <c r="PQK1" s="5"/>
      <c r="PQL1" s="5"/>
      <c r="PQM1" s="5"/>
      <c r="PQO1" s="5"/>
      <c r="PQP1" s="5"/>
      <c r="PQQ1" s="5"/>
      <c r="PQS1" s="5"/>
      <c r="PQT1" s="5"/>
      <c r="PQU1" s="5"/>
      <c r="PQW1" s="5"/>
      <c r="PQX1" s="5"/>
      <c r="PQY1" s="5"/>
      <c r="PRA1" s="5"/>
      <c r="PRB1" s="5"/>
      <c r="PRC1" s="5"/>
      <c r="PRE1" s="5"/>
      <c r="PRF1" s="5"/>
      <c r="PRG1" s="5"/>
      <c r="PRI1" s="5"/>
      <c r="PRJ1" s="5"/>
      <c r="PRK1" s="5"/>
      <c r="PRM1" s="5"/>
      <c r="PRN1" s="5"/>
      <c r="PRO1" s="5"/>
      <c r="PRQ1" s="5"/>
      <c r="PRR1" s="5"/>
      <c r="PRS1" s="5"/>
      <c r="PRU1" s="5"/>
      <c r="PRV1" s="5"/>
      <c r="PRW1" s="5"/>
      <c r="PRY1" s="5"/>
      <c r="PRZ1" s="5"/>
      <c r="PSA1" s="5"/>
      <c r="PSC1" s="5"/>
      <c r="PSD1" s="5"/>
      <c r="PSE1" s="5"/>
      <c r="PSG1" s="5"/>
      <c r="PSH1" s="5"/>
      <c r="PSI1" s="5"/>
      <c r="PSK1" s="5"/>
      <c r="PSL1" s="5"/>
      <c r="PSM1" s="5"/>
      <c r="PSO1" s="5"/>
      <c r="PSP1" s="5"/>
      <c r="PSQ1" s="5"/>
      <c r="PSS1" s="5"/>
      <c r="PST1" s="5"/>
      <c r="PSU1" s="5"/>
      <c r="PSW1" s="5"/>
      <c r="PSX1" s="5"/>
      <c r="PSY1" s="5"/>
      <c r="PTA1" s="5"/>
      <c r="PTB1" s="5"/>
      <c r="PTC1" s="5"/>
      <c r="PTE1" s="5"/>
      <c r="PTF1" s="5"/>
      <c r="PTG1" s="5"/>
      <c r="PTI1" s="5"/>
      <c r="PTJ1" s="5"/>
      <c r="PTK1" s="5"/>
      <c r="PTM1" s="5"/>
      <c r="PTN1" s="5"/>
      <c r="PTO1" s="5"/>
      <c r="PTQ1" s="5"/>
      <c r="PTR1" s="5"/>
      <c r="PTS1" s="5"/>
      <c r="PTU1" s="5"/>
      <c r="PTV1" s="5"/>
      <c r="PTW1" s="5"/>
      <c r="PTY1" s="5"/>
      <c r="PTZ1" s="5"/>
      <c r="PUA1" s="5"/>
      <c r="PUC1" s="5"/>
      <c r="PUD1" s="5"/>
      <c r="PUE1" s="5"/>
      <c r="PUG1" s="5"/>
      <c r="PUH1" s="5"/>
      <c r="PUI1" s="5"/>
      <c r="PUK1" s="5"/>
      <c r="PUL1" s="5"/>
      <c r="PUM1" s="5"/>
      <c r="PUO1" s="5"/>
      <c r="PUP1" s="5"/>
      <c r="PUQ1" s="5"/>
      <c r="PUS1" s="5"/>
      <c r="PUT1" s="5"/>
      <c r="PUU1" s="5"/>
      <c r="PUW1" s="5"/>
      <c r="PUX1" s="5"/>
      <c r="PUY1" s="5"/>
      <c r="PVA1" s="5"/>
      <c r="PVB1" s="5"/>
      <c r="PVC1" s="5"/>
      <c r="PVE1" s="5"/>
      <c r="PVF1" s="5"/>
      <c r="PVG1" s="5"/>
      <c r="PVI1" s="5"/>
      <c r="PVJ1" s="5"/>
      <c r="PVK1" s="5"/>
      <c r="PVM1" s="5"/>
      <c r="PVN1" s="5"/>
      <c r="PVO1" s="5"/>
      <c r="PVQ1" s="5"/>
      <c r="PVR1" s="5"/>
      <c r="PVS1" s="5"/>
      <c r="PVU1" s="5"/>
      <c r="PVV1" s="5"/>
      <c r="PVW1" s="5"/>
      <c r="PVY1" s="5"/>
      <c r="PVZ1" s="5"/>
      <c r="PWA1" s="5"/>
      <c r="PWC1" s="5"/>
      <c r="PWD1" s="5"/>
      <c r="PWE1" s="5"/>
      <c r="PWG1" s="5"/>
      <c r="PWH1" s="5"/>
      <c r="PWI1" s="5"/>
      <c r="PWK1" s="5"/>
      <c r="PWL1" s="5"/>
      <c r="PWM1" s="5"/>
      <c r="PWO1" s="5"/>
      <c r="PWP1" s="5"/>
      <c r="PWQ1" s="5"/>
      <c r="PWS1" s="5"/>
      <c r="PWT1" s="5"/>
      <c r="PWU1" s="5"/>
      <c r="PWW1" s="5"/>
      <c r="PWX1" s="5"/>
      <c r="PWY1" s="5"/>
      <c r="PXA1" s="5"/>
      <c r="PXB1" s="5"/>
      <c r="PXC1" s="5"/>
      <c r="PXE1" s="5"/>
      <c r="PXF1" s="5"/>
      <c r="PXG1" s="5"/>
      <c r="PXI1" s="5"/>
      <c r="PXJ1" s="5"/>
      <c r="PXK1" s="5"/>
      <c r="PXM1" s="5"/>
      <c r="PXN1" s="5"/>
      <c r="PXO1" s="5"/>
      <c r="PXQ1" s="5"/>
      <c r="PXR1" s="5"/>
      <c r="PXS1" s="5"/>
      <c r="PXU1" s="5"/>
      <c r="PXV1" s="5"/>
      <c r="PXW1" s="5"/>
      <c r="PXY1" s="5"/>
      <c r="PXZ1" s="5"/>
      <c r="PYA1" s="5"/>
      <c r="PYC1" s="5"/>
      <c r="PYD1" s="5"/>
      <c r="PYE1" s="5"/>
      <c r="PYG1" s="5"/>
      <c r="PYH1" s="5"/>
      <c r="PYI1" s="5"/>
      <c r="PYK1" s="5"/>
      <c r="PYL1" s="5"/>
      <c r="PYM1" s="5"/>
      <c r="PYO1" s="5"/>
      <c r="PYP1" s="5"/>
      <c r="PYQ1" s="5"/>
      <c r="PYS1" s="5"/>
      <c r="PYT1" s="5"/>
      <c r="PYU1" s="5"/>
      <c r="PYW1" s="5"/>
      <c r="PYX1" s="5"/>
      <c r="PYY1" s="5"/>
      <c r="PZA1" s="5"/>
      <c r="PZB1" s="5"/>
      <c r="PZC1" s="5"/>
      <c r="PZE1" s="5"/>
      <c r="PZF1" s="5"/>
      <c r="PZG1" s="5"/>
      <c r="PZI1" s="5"/>
      <c r="PZJ1" s="5"/>
      <c r="PZK1" s="5"/>
      <c r="PZM1" s="5"/>
      <c r="PZN1" s="5"/>
      <c r="PZO1" s="5"/>
      <c r="PZQ1" s="5"/>
      <c r="PZR1" s="5"/>
      <c r="PZS1" s="5"/>
      <c r="PZU1" s="5"/>
      <c r="PZV1" s="5"/>
      <c r="PZW1" s="5"/>
      <c r="PZY1" s="5"/>
      <c r="PZZ1" s="5"/>
      <c r="QAA1" s="5"/>
      <c r="QAC1" s="5"/>
      <c r="QAD1" s="5"/>
      <c r="QAE1" s="5"/>
      <c r="QAG1" s="5"/>
      <c r="QAH1" s="5"/>
      <c r="QAI1" s="5"/>
      <c r="QAK1" s="5"/>
      <c r="QAL1" s="5"/>
      <c r="QAM1" s="5"/>
      <c r="QAO1" s="5"/>
      <c r="QAP1" s="5"/>
      <c r="QAQ1" s="5"/>
      <c r="QAS1" s="5"/>
      <c r="QAT1" s="5"/>
      <c r="QAU1" s="5"/>
      <c r="QAW1" s="5"/>
      <c r="QAX1" s="5"/>
      <c r="QAY1" s="5"/>
      <c r="QBA1" s="5"/>
      <c r="QBB1" s="5"/>
      <c r="QBC1" s="5"/>
      <c r="QBE1" s="5"/>
      <c r="QBF1" s="5"/>
      <c r="QBG1" s="5"/>
      <c r="QBI1" s="5"/>
      <c r="QBJ1" s="5"/>
      <c r="QBK1" s="5"/>
      <c r="QBM1" s="5"/>
      <c r="QBN1" s="5"/>
      <c r="QBO1" s="5"/>
      <c r="QBQ1" s="5"/>
      <c r="QBR1" s="5"/>
      <c r="QBS1" s="5"/>
      <c r="QBU1" s="5"/>
      <c r="QBV1" s="5"/>
      <c r="QBW1" s="5"/>
      <c r="QBY1" s="5"/>
      <c r="QBZ1" s="5"/>
      <c r="QCA1" s="5"/>
      <c r="QCC1" s="5"/>
      <c r="QCD1" s="5"/>
      <c r="QCE1" s="5"/>
      <c r="QCG1" s="5"/>
      <c r="QCH1" s="5"/>
      <c r="QCI1" s="5"/>
      <c r="QCK1" s="5"/>
      <c r="QCL1" s="5"/>
      <c r="QCM1" s="5"/>
      <c r="QCO1" s="5"/>
      <c r="QCP1" s="5"/>
      <c r="QCQ1" s="5"/>
      <c r="QCS1" s="5"/>
      <c r="QCT1" s="5"/>
      <c r="QCU1" s="5"/>
      <c r="QCW1" s="5"/>
      <c r="QCX1" s="5"/>
      <c r="QCY1" s="5"/>
      <c r="QDA1" s="5"/>
      <c r="QDB1" s="5"/>
      <c r="QDC1" s="5"/>
      <c r="QDE1" s="5"/>
      <c r="QDF1" s="5"/>
      <c r="QDG1" s="5"/>
      <c r="QDI1" s="5"/>
      <c r="QDJ1" s="5"/>
      <c r="QDK1" s="5"/>
      <c r="QDM1" s="5"/>
      <c r="QDN1" s="5"/>
      <c r="QDO1" s="5"/>
      <c r="QDQ1" s="5"/>
      <c r="QDR1" s="5"/>
      <c r="QDS1" s="5"/>
      <c r="QDU1" s="5"/>
      <c r="QDV1" s="5"/>
      <c r="QDW1" s="5"/>
      <c r="QDY1" s="5"/>
      <c r="QDZ1" s="5"/>
      <c r="QEA1" s="5"/>
      <c r="QEC1" s="5"/>
      <c r="QED1" s="5"/>
      <c r="QEE1" s="5"/>
      <c r="QEG1" s="5"/>
      <c r="QEH1" s="5"/>
      <c r="QEI1" s="5"/>
      <c r="QEK1" s="5"/>
      <c r="QEL1" s="5"/>
      <c r="QEM1" s="5"/>
      <c r="QEO1" s="5"/>
      <c r="QEP1" s="5"/>
      <c r="QEQ1" s="5"/>
      <c r="QES1" s="5"/>
      <c r="QET1" s="5"/>
      <c r="QEU1" s="5"/>
      <c r="QEW1" s="5"/>
      <c r="QEX1" s="5"/>
      <c r="QEY1" s="5"/>
      <c r="QFA1" s="5"/>
      <c r="QFB1" s="5"/>
      <c r="QFC1" s="5"/>
      <c r="QFE1" s="5"/>
      <c r="QFF1" s="5"/>
      <c r="QFG1" s="5"/>
      <c r="QFI1" s="5"/>
      <c r="QFJ1" s="5"/>
      <c r="QFK1" s="5"/>
      <c r="QFM1" s="5"/>
      <c r="QFN1" s="5"/>
      <c r="QFO1" s="5"/>
      <c r="QFQ1" s="5"/>
      <c r="QFR1" s="5"/>
      <c r="QFS1" s="5"/>
      <c r="QFU1" s="5"/>
      <c r="QFV1" s="5"/>
      <c r="QFW1" s="5"/>
      <c r="QFY1" s="5"/>
      <c r="QFZ1" s="5"/>
      <c r="QGA1" s="5"/>
      <c r="QGC1" s="5"/>
      <c r="QGD1" s="5"/>
      <c r="QGE1" s="5"/>
      <c r="QGG1" s="5"/>
      <c r="QGH1" s="5"/>
      <c r="QGI1" s="5"/>
      <c r="QGK1" s="5"/>
      <c r="QGL1" s="5"/>
      <c r="QGM1" s="5"/>
      <c r="QGO1" s="5"/>
      <c r="QGP1" s="5"/>
      <c r="QGQ1" s="5"/>
      <c r="QGS1" s="5"/>
      <c r="QGT1" s="5"/>
      <c r="QGU1" s="5"/>
      <c r="QGW1" s="5"/>
      <c r="QGX1" s="5"/>
      <c r="QGY1" s="5"/>
      <c r="QHA1" s="5"/>
      <c r="QHB1" s="5"/>
      <c r="QHC1" s="5"/>
      <c r="QHE1" s="5"/>
      <c r="QHF1" s="5"/>
      <c r="QHG1" s="5"/>
      <c r="QHI1" s="5"/>
      <c r="QHJ1" s="5"/>
      <c r="QHK1" s="5"/>
      <c r="QHM1" s="5"/>
      <c r="QHN1" s="5"/>
      <c r="QHO1" s="5"/>
      <c r="QHQ1" s="5"/>
      <c r="QHR1" s="5"/>
      <c r="QHS1" s="5"/>
      <c r="QHU1" s="5"/>
      <c r="QHV1" s="5"/>
      <c r="QHW1" s="5"/>
      <c r="QHY1" s="5"/>
      <c r="QHZ1" s="5"/>
      <c r="QIA1" s="5"/>
      <c r="QIC1" s="5"/>
      <c r="QID1" s="5"/>
      <c r="QIE1" s="5"/>
      <c r="QIG1" s="5"/>
      <c r="QIH1" s="5"/>
      <c r="QII1" s="5"/>
      <c r="QIK1" s="5"/>
      <c r="QIL1" s="5"/>
      <c r="QIM1" s="5"/>
      <c r="QIO1" s="5"/>
      <c r="QIP1" s="5"/>
      <c r="QIQ1" s="5"/>
      <c r="QIS1" s="5"/>
      <c r="QIT1" s="5"/>
      <c r="QIU1" s="5"/>
      <c r="QIW1" s="5"/>
      <c r="QIX1" s="5"/>
      <c r="QIY1" s="5"/>
      <c r="QJA1" s="5"/>
      <c r="QJB1" s="5"/>
      <c r="QJC1" s="5"/>
      <c r="QJE1" s="5"/>
      <c r="QJF1" s="5"/>
      <c r="QJG1" s="5"/>
      <c r="QJI1" s="5"/>
      <c r="QJJ1" s="5"/>
      <c r="QJK1" s="5"/>
      <c r="QJM1" s="5"/>
      <c r="QJN1" s="5"/>
      <c r="QJO1" s="5"/>
      <c r="QJQ1" s="5"/>
      <c r="QJR1" s="5"/>
      <c r="QJS1" s="5"/>
      <c r="QJU1" s="5"/>
      <c r="QJV1" s="5"/>
      <c r="QJW1" s="5"/>
      <c r="QJY1" s="5"/>
      <c r="QJZ1" s="5"/>
      <c r="QKA1" s="5"/>
      <c r="QKC1" s="5"/>
      <c r="QKD1" s="5"/>
      <c r="QKE1" s="5"/>
      <c r="QKG1" s="5"/>
      <c r="QKH1" s="5"/>
      <c r="QKI1" s="5"/>
      <c r="QKK1" s="5"/>
      <c r="QKL1" s="5"/>
      <c r="QKM1" s="5"/>
      <c r="QKO1" s="5"/>
      <c r="QKP1" s="5"/>
      <c r="QKQ1" s="5"/>
      <c r="QKS1" s="5"/>
      <c r="QKT1" s="5"/>
      <c r="QKU1" s="5"/>
      <c r="QKW1" s="5"/>
      <c r="QKX1" s="5"/>
      <c r="QKY1" s="5"/>
      <c r="QLA1" s="5"/>
      <c r="QLB1" s="5"/>
      <c r="QLC1" s="5"/>
      <c r="QLE1" s="5"/>
      <c r="QLF1" s="5"/>
      <c r="QLG1" s="5"/>
      <c r="QLI1" s="5"/>
      <c r="QLJ1" s="5"/>
      <c r="QLK1" s="5"/>
      <c r="QLM1" s="5"/>
      <c r="QLN1" s="5"/>
      <c r="QLO1" s="5"/>
      <c r="QLQ1" s="5"/>
      <c r="QLR1" s="5"/>
      <c r="QLS1" s="5"/>
      <c r="QLU1" s="5"/>
      <c r="QLV1" s="5"/>
      <c r="QLW1" s="5"/>
      <c r="QLY1" s="5"/>
      <c r="QLZ1" s="5"/>
      <c r="QMA1" s="5"/>
      <c r="QMC1" s="5"/>
      <c r="QMD1" s="5"/>
      <c r="QME1" s="5"/>
      <c r="QMG1" s="5"/>
      <c r="QMH1" s="5"/>
      <c r="QMI1" s="5"/>
      <c r="QMK1" s="5"/>
      <c r="QML1" s="5"/>
      <c r="QMM1" s="5"/>
      <c r="QMO1" s="5"/>
      <c r="QMP1" s="5"/>
      <c r="QMQ1" s="5"/>
      <c r="QMS1" s="5"/>
      <c r="QMT1" s="5"/>
      <c r="QMU1" s="5"/>
      <c r="QMW1" s="5"/>
      <c r="QMX1" s="5"/>
      <c r="QMY1" s="5"/>
      <c r="QNA1" s="5"/>
      <c r="QNB1" s="5"/>
      <c r="QNC1" s="5"/>
      <c r="QNE1" s="5"/>
      <c r="QNF1" s="5"/>
      <c r="QNG1" s="5"/>
      <c r="QNI1" s="5"/>
      <c r="QNJ1" s="5"/>
      <c r="QNK1" s="5"/>
      <c r="QNM1" s="5"/>
      <c r="QNN1" s="5"/>
      <c r="QNO1" s="5"/>
      <c r="QNQ1" s="5"/>
      <c r="QNR1" s="5"/>
      <c r="QNS1" s="5"/>
      <c r="QNU1" s="5"/>
      <c r="QNV1" s="5"/>
      <c r="QNW1" s="5"/>
      <c r="QNY1" s="5"/>
      <c r="QNZ1" s="5"/>
      <c r="QOA1" s="5"/>
      <c r="QOC1" s="5"/>
      <c r="QOD1" s="5"/>
      <c r="QOE1" s="5"/>
      <c r="QOG1" s="5"/>
      <c r="QOH1" s="5"/>
      <c r="QOI1" s="5"/>
      <c r="QOK1" s="5"/>
      <c r="QOL1" s="5"/>
      <c r="QOM1" s="5"/>
      <c r="QOO1" s="5"/>
      <c r="QOP1" s="5"/>
      <c r="QOQ1" s="5"/>
      <c r="QOS1" s="5"/>
      <c r="QOT1" s="5"/>
      <c r="QOU1" s="5"/>
      <c r="QOW1" s="5"/>
      <c r="QOX1" s="5"/>
      <c r="QOY1" s="5"/>
      <c r="QPA1" s="5"/>
      <c r="QPB1" s="5"/>
      <c r="QPC1" s="5"/>
      <c r="QPE1" s="5"/>
      <c r="QPF1" s="5"/>
      <c r="QPG1" s="5"/>
      <c r="QPI1" s="5"/>
      <c r="QPJ1" s="5"/>
      <c r="QPK1" s="5"/>
      <c r="QPM1" s="5"/>
      <c r="QPN1" s="5"/>
      <c r="QPO1" s="5"/>
      <c r="QPQ1" s="5"/>
      <c r="QPR1" s="5"/>
      <c r="QPS1" s="5"/>
      <c r="QPU1" s="5"/>
      <c r="QPV1" s="5"/>
      <c r="QPW1" s="5"/>
      <c r="QPY1" s="5"/>
      <c r="QPZ1" s="5"/>
      <c r="QQA1" s="5"/>
      <c r="QQC1" s="5"/>
      <c r="QQD1" s="5"/>
      <c r="QQE1" s="5"/>
      <c r="QQG1" s="5"/>
      <c r="QQH1" s="5"/>
      <c r="QQI1" s="5"/>
      <c r="QQK1" s="5"/>
      <c r="QQL1" s="5"/>
      <c r="QQM1" s="5"/>
      <c r="QQO1" s="5"/>
      <c r="QQP1" s="5"/>
      <c r="QQQ1" s="5"/>
      <c r="QQS1" s="5"/>
      <c r="QQT1" s="5"/>
      <c r="QQU1" s="5"/>
      <c r="QQW1" s="5"/>
      <c r="QQX1" s="5"/>
      <c r="QQY1" s="5"/>
      <c r="QRA1" s="5"/>
      <c r="QRB1" s="5"/>
      <c r="QRC1" s="5"/>
      <c r="QRE1" s="5"/>
      <c r="QRF1" s="5"/>
      <c r="QRG1" s="5"/>
      <c r="QRI1" s="5"/>
      <c r="QRJ1" s="5"/>
      <c r="QRK1" s="5"/>
      <c r="QRM1" s="5"/>
      <c r="QRN1" s="5"/>
      <c r="QRO1" s="5"/>
      <c r="QRQ1" s="5"/>
      <c r="QRR1" s="5"/>
      <c r="QRS1" s="5"/>
      <c r="QRU1" s="5"/>
      <c r="QRV1" s="5"/>
      <c r="QRW1" s="5"/>
      <c r="QRY1" s="5"/>
      <c r="QRZ1" s="5"/>
      <c r="QSA1" s="5"/>
      <c r="QSC1" s="5"/>
      <c r="QSD1" s="5"/>
      <c r="QSE1" s="5"/>
      <c r="QSG1" s="5"/>
      <c r="QSH1" s="5"/>
      <c r="QSI1" s="5"/>
      <c r="QSK1" s="5"/>
      <c r="QSL1" s="5"/>
      <c r="QSM1" s="5"/>
      <c r="QSO1" s="5"/>
      <c r="QSP1" s="5"/>
      <c r="QSQ1" s="5"/>
      <c r="QSS1" s="5"/>
      <c r="QST1" s="5"/>
      <c r="QSU1" s="5"/>
      <c r="QSW1" s="5"/>
      <c r="QSX1" s="5"/>
      <c r="QSY1" s="5"/>
      <c r="QTA1" s="5"/>
      <c r="QTB1" s="5"/>
      <c r="QTC1" s="5"/>
      <c r="QTE1" s="5"/>
      <c r="QTF1" s="5"/>
      <c r="QTG1" s="5"/>
      <c r="QTI1" s="5"/>
      <c r="QTJ1" s="5"/>
      <c r="QTK1" s="5"/>
      <c r="QTM1" s="5"/>
      <c r="QTN1" s="5"/>
      <c r="QTO1" s="5"/>
      <c r="QTQ1" s="5"/>
      <c r="QTR1" s="5"/>
      <c r="QTS1" s="5"/>
      <c r="QTU1" s="5"/>
      <c r="QTV1" s="5"/>
      <c r="QTW1" s="5"/>
      <c r="QTY1" s="5"/>
      <c r="QTZ1" s="5"/>
      <c r="QUA1" s="5"/>
      <c r="QUC1" s="5"/>
      <c r="QUD1" s="5"/>
      <c r="QUE1" s="5"/>
      <c r="QUG1" s="5"/>
      <c r="QUH1" s="5"/>
      <c r="QUI1" s="5"/>
      <c r="QUK1" s="5"/>
      <c r="QUL1" s="5"/>
      <c r="QUM1" s="5"/>
      <c r="QUO1" s="5"/>
      <c r="QUP1" s="5"/>
      <c r="QUQ1" s="5"/>
      <c r="QUS1" s="5"/>
      <c r="QUT1" s="5"/>
      <c r="QUU1" s="5"/>
      <c r="QUW1" s="5"/>
      <c r="QUX1" s="5"/>
      <c r="QUY1" s="5"/>
      <c r="QVA1" s="5"/>
      <c r="QVB1" s="5"/>
      <c r="QVC1" s="5"/>
      <c r="QVE1" s="5"/>
      <c r="QVF1" s="5"/>
      <c r="QVG1" s="5"/>
      <c r="QVI1" s="5"/>
      <c r="QVJ1" s="5"/>
      <c r="QVK1" s="5"/>
      <c r="QVM1" s="5"/>
      <c r="QVN1" s="5"/>
      <c r="QVO1" s="5"/>
      <c r="QVQ1" s="5"/>
      <c r="QVR1" s="5"/>
      <c r="QVS1" s="5"/>
      <c r="QVU1" s="5"/>
      <c r="QVV1" s="5"/>
      <c r="QVW1" s="5"/>
      <c r="QVY1" s="5"/>
      <c r="QVZ1" s="5"/>
      <c r="QWA1" s="5"/>
      <c r="QWC1" s="5"/>
      <c r="QWD1" s="5"/>
      <c r="QWE1" s="5"/>
      <c r="QWG1" s="5"/>
      <c r="QWH1" s="5"/>
      <c r="QWI1" s="5"/>
      <c r="QWK1" s="5"/>
      <c r="QWL1" s="5"/>
      <c r="QWM1" s="5"/>
      <c r="QWO1" s="5"/>
      <c r="QWP1" s="5"/>
      <c r="QWQ1" s="5"/>
      <c r="QWS1" s="5"/>
      <c r="QWT1" s="5"/>
      <c r="QWU1" s="5"/>
      <c r="QWW1" s="5"/>
      <c r="QWX1" s="5"/>
      <c r="QWY1" s="5"/>
      <c r="QXA1" s="5"/>
      <c r="QXB1" s="5"/>
      <c r="QXC1" s="5"/>
      <c r="QXE1" s="5"/>
      <c r="QXF1" s="5"/>
      <c r="QXG1" s="5"/>
      <c r="QXI1" s="5"/>
      <c r="QXJ1" s="5"/>
      <c r="QXK1" s="5"/>
      <c r="QXM1" s="5"/>
      <c r="QXN1" s="5"/>
      <c r="QXO1" s="5"/>
      <c r="QXQ1" s="5"/>
      <c r="QXR1" s="5"/>
      <c r="QXS1" s="5"/>
      <c r="QXU1" s="5"/>
      <c r="QXV1" s="5"/>
      <c r="QXW1" s="5"/>
      <c r="QXY1" s="5"/>
      <c r="QXZ1" s="5"/>
      <c r="QYA1" s="5"/>
      <c r="QYC1" s="5"/>
      <c r="QYD1" s="5"/>
      <c r="QYE1" s="5"/>
      <c r="QYG1" s="5"/>
      <c r="QYH1" s="5"/>
      <c r="QYI1" s="5"/>
      <c r="QYK1" s="5"/>
      <c r="QYL1" s="5"/>
      <c r="QYM1" s="5"/>
      <c r="QYO1" s="5"/>
      <c r="QYP1" s="5"/>
      <c r="QYQ1" s="5"/>
      <c r="QYS1" s="5"/>
      <c r="QYT1" s="5"/>
      <c r="QYU1" s="5"/>
      <c r="QYW1" s="5"/>
      <c r="QYX1" s="5"/>
      <c r="QYY1" s="5"/>
      <c r="QZA1" s="5"/>
      <c r="QZB1" s="5"/>
      <c r="QZC1" s="5"/>
      <c r="QZE1" s="5"/>
      <c r="QZF1" s="5"/>
      <c r="QZG1" s="5"/>
      <c r="QZI1" s="5"/>
      <c r="QZJ1" s="5"/>
      <c r="QZK1" s="5"/>
      <c r="QZM1" s="5"/>
      <c r="QZN1" s="5"/>
      <c r="QZO1" s="5"/>
      <c r="QZQ1" s="5"/>
      <c r="QZR1" s="5"/>
      <c r="QZS1" s="5"/>
      <c r="QZU1" s="5"/>
      <c r="QZV1" s="5"/>
      <c r="QZW1" s="5"/>
      <c r="QZY1" s="5"/>
      <c r="QZZ1" s="5"/>
      <c r="RAA1" s="5"/>
      <c r="RAC1" s="5"/>
      <c r="RAD1" s="5"/>
      <c r="RAE1" s="5"/>
      <c r="RAG1" s="5"/>
      <c r="RAH1" s="5"/>
      <c r="RAI1" s="5"/>
      <c r="RAK1" s="5"/>
      <c r="RAL1" s="5"/>
      <c r="RAM1" s="5"/>
      <c r="RAO1" s="5"/>
      <c r="RAP1" s="5"/>
      <c r="RAQ1" s="5"/>
      <c r="RAS1" s="5"/>
      <c r="RAT1" s="5"/>
      <c r="RAU1" s="5"/>
      <c r="RAW1" s="5"/>
      <c r="RAX1" s="5"/>
      <c r="RAY1" s="5"/>
      <c r="RBA1" s="5"/>
      <c r="RBB1" s="5"/>
      <c r="RBC1" s="5"/>
      <c r="RBE1" s="5"/>
      <c r="RBF1" s="5"/>
      <c r="RBG1" s="5"/>
      <c r="RBI1" s="5"/>
      <c r="RBJ1" s="5"/>
      <c r="RBK1" s="5"/>
      <c r="RBM1" s="5"/>
      <c r="RBN1" s="5"/>
      <c r="RBO1" s="5"/>
      <c r="RBQ1" s="5"/>
      <c r="RBR1" s="5"/>
      <c r="RBS1" s="5"/>
      <c r="RBU1" s="5"/>
      <c r="RBV1" s="5"/>
      <c r="RBW1" s="5"/>
      <c r="RBY1" s="5"/>
      <c r="RBZ1" s="5"/>
      <c r="RCA1" s="5"/>
      <c r="RCC1" s="5"/>
      <c r="RCD1" s="5"/>
      <c r="RCE1" s="5"/>
      <c r="RCG1" s="5"/>
      <c r="RCH1" s="5"/>
      <c r="RCI1" s="5"/>
      <c r="RCK1" s="5"/>
      <c r="RCL1" s="5"/>
      <c r="RCM1" s="5"/>
      <c r="RCO1" s="5"/>
      <c r="RCP1" s="5"/>
      <c r="RCQ1" s="5"/>
      <c r="RCS1" s="5"/>
      <c r="RCT1" s="5"/>
      <c r="RCU1" s="5"/>
      <c r="RCW1" s="5"/>
      <c r="RCX1" s="5"/>
      <c r="RCY1" s="5"/>
      <c r="RDA1" s="5"/>
      <c r="RDB1" s="5"/>
      <c r="RDC1" s="5"/>
      <c r="RDE1" s="5"/>
      <c r="RDF1" s="5"/>
      <c r="RDG1" s="5"/>
      <c r="RDI1" s="5"/>
      <c r="RDJ1" s="5"/>
      <c r="RDK1" s="5"/>
      <c r="RDM1" s="5"/>
      <c r="RDN1" s="5"/>
      <c r="RDO1" s="5"/>
      <c r="RDQ1" s="5"/>
      <c r="RDR1" s="5"/>
      <c r="RDS1" s="5"/>
      <c r="RDU1" s="5"/>
      <c r="RDV1" s="5"/>
      <c r="RDW1" s="5"/>
      <c r="RDY1" s="5"/>
      <c r="RDZ1" s="5"/>
      <c r="REA1" s="5"/>
      <c r="REC1" s="5"/>
      <c r="RED1" s="5"/>
      <c r="REE1" s="5"/>
      <c r="REG1" s="5"/>
      <c r="REH1" s="5"/>
      <c r="REI1" s="5"/>
      <c r="REK1" s="5"/>
      <c r="REL1" s="5"/>
      <c r="REM1" s="5"/>
      <c r="REO1" s="5"/>
      <c r="REP1" s="5"/>
      <c r="REQ1" s="5"/>
      <c r="RES1" s="5"/>
      <c r="RET1" s="5"/>
      <c r="REU1" s="5"/>
      <c r="REW1" s="5"/>
      <c r="REX1" s="5"/>
      <c r="REY1" s="5"/>
      <c r="RFA1" s="5"/>
      <c r="RFB1" s="5"/>
      <c r="RFC1" s="5"/>
      <c r="RFE1" s="5"/>
      <c r="RFF1" s="5"/>
      <c r="RFG1" s="5"/>
      <c r="RFI1" s="5"/>
      <c r="RFJ1" s="5"/>
      <c r="RFK1" s="5"/>
      <c r="RFM1" s="5"/>
      <c r="RFN1" s="5"/>
      <c r="RFO1" s="5"/>
      <c r="RFQ1" s="5"/>
      <c r="RFR1" s="5"/>
      <c r="RFS1" s="5"/>
      <c r="RFU1" s="5"/>
      <c r="RFV1" s="5"/>
      <c r="RFW1" s="5"/>
      <c r="RFY1" s="5"/>
      <c r="RFZ1" s="5"/>
      <c r="RGA1" s="5"/>
      <c r="RGC1" s="5"/>
      <c r="RGD1" s="5"/>
      <c r="RGE1" s="5"/>
      <c r="RGG1" s="5"/>
      <c r="RGH1" s="5"/>
      <c r="RGI1" s="5"/>
      <c r="RGK1" s="5"/>
      <c r="RGL1" s="5"/>
      <c r="RGM1" s="5"/>
      <c r="RGO1" s="5"/>
      <c r="RGP1" s="5"/>
      <c r="RGQ1" s="5"/>
      <c r="RGS1" s="5"/>
      <c r="RGT1" s="5"/>
      <c r="RGU1" s="5"/>
      <c r="RGW1" s="5"/>
      <c r="RGX1" s="5"/>
      <c r="RGY1" s="5"/>
      <c r="RHA1" s="5"/>
      <c r="RHB1" s="5"/>
      <c r="RHC1" s="5"/>
      <c r="RHE1" s="5"/>
      <c r="RHF1" s="5"/>
      <c r="RHG1" s="5"/>
      <c r="RHI1" s="5"/>
      <c r="RHJ1" s="5"/>
      <c r="RHK1" s="5"/>
      <c r="RHM1" s="5"/>
      <c r="RHN1" s="5"/>
      <c r="RHO1" s="5"/>
      <c r="RHQ1" s="5"/>
      <c r="RHR1" s="5"/>
      <c r="RHS1" s="5"/>
      <c r="RHU1" s="5"/>
      <c r="RHV1" s="5"/>
      <c r="RHW1" s="5"/>
      <c r="RHY1" s="5"/>
      <c r="RHZ1" s="5"/>
      <c r="RIA1" s="5"/>
      <c r="RIC1" s="5"/>
      <c r="RID1" s="5"/>
      <c r="RIE1" s="5"/>
      <c r="RIG1" s="5"/>
      <c r="RIH1" s="5"/>
      <c r="RII1" s="5"/>
      <c r="RIK1" s="5"/>
      <c r="RIL1" s="5"/>
      <c r="RIM1" s="5"/>
      <c r="RIO1" s="5"/>
      <c r="RIP1" s="5"/>
      <c r="RIQ1" s="5"/>
      <c r="RIS1" s="5"/>
      <c r="RIT1" s="5"/>
      <c r="RIU1" s="5"/>
      <c r="RIW1" s="5"/>
      <c r="RIX1" s="5"/>
      <c r="RIY1" s="5"/>
      <c r="RJA1" s="5"/>
      <c r="RJB1" s="5"/>
      <c r="RJC1" s="5"/>
      <c r="RJE1" s="5"/>
      <c r="RJF1" s="5"/>
      <c r="RJG1" s="5"/>
      <c r="RJI1" s="5"/>
      <c r="RJJ1" s="5"/>
      <c r="RJK1" s="5"/>
      <c r="RJM1" s="5"/>
      <c r="RJN1" s="5"/>
      <c r="RJO1" s="5"/>
      <c r="RJQ1" s="5"/>
      <c r="RJR1" s="5"/>
      <c r="RJS1" s="5"/>
      <c r="RJU1" s="5"/>
      <c r="RJV1" s="5"/>
      <c r="RJW1" s="5"/>
      <c r="RJY1" s="5"/>
      <c r="RJZ1" s="5"/>
      <c r="RKA1" s="5"/>
      <c r="RKC1" s="5"/>
      <c r="RKD1" s="5"/>
      <c r="RKE1" s="5"/>
      <c r="RKG1" s="5"/>
      <c r="RKH1" s="5"/>
      <c r="RKI1" s="5"/>
      <c r="RKK1" s="5"/>
      <c r="RKL1" s="5"/>
      <c r="RKM1" s="5"/>
      <c r="RKO1" s="5"/>
      <c r="RKP1" s="5"/>
      <c r="RKQ1" s="5"/>
      <c r="RKS1" s="5"/>
      <c r="RKT1" s="5"/>
      <c r="RKU1" s="5"/>
      <c r="RKW1" s="5"/>
      <c r="RKX1" s="5"/>
      <c r="RKY1" s="5"/>
      <c r="RLA1" s="5"/>
      <c r="RLB1" s="5"/>
      <c r="RLC1" s="5"/>
      <c r="RLE1" s="5"/>
      <c r="RLF1" s="5"/>
      <c r="RLG1" s="5"/>
      <c r="RLI1" s="5"/>
      <c r="RLJ1" s="5"/>
      <c r="RLK1" s="5"/>
      <c r="RLM1" s="5"/>
      <c r="RLN1" s="5"/>
      <c r="RLO1" s="5"/>
      <c r="RLQ1" s="5"/>
      <c r="RLR1" s="5"/>
      <c r="RLS1" s="5"/>
      <c r="RLU1" s="5"/>
      <c r="RLV1" s="5"/>
      <c r="RLW1" s="5"/>
      <c r="RLY1" s="5"/>
      <c r="RLZ1" s="5"/>
      <c r="RMA1" s="5"/>
      <c r="RMC1" s="5"/>
      <c r="RMD1" s="5"/>
      <c r="RME1" s="5"/>
      <c r="RMG1" s="5"/>
      <c r="RMH1" s="5"/>
      <c r="RMI1" s="5"/>
      <c r="RMK1" s="5"/>
      <c r="RML1" s="5"/>
      <c r="RMM1" s="5"/>
      <c r="RMO1" s="5"/>
      <c r="RMP1" s="5"/>
      <c r="RMQ1" s="5"/>
      <c r="RMS1" s="5"/>
      <c r="RMT1" s="5"/>
      <c r="RMU1" s="5"/>
      <c r="RMW1" s="5"/>
      <c r="RMX1" s="5"/>
      <c r="RMY1" s="5"/>
      <c r="RNA1" s="5"/>
      <c r="RNB1" s="5"/>
      <c r="RNC1" s="5"/>
      <c r="RNE1" s="5"/>
      <c r="RNF1" s="5"/>
      <c r="RNG1" s="5"/>
      <c r="RNI1" s="5"/>
      <c r="RNJ1" s="5"/>
      <c r="RNK1" s="5"/>
      <c r="RNM1" s="5"/>
      <c r="RNN1" s="5"/>
      <c r="RNO1" s="5"/>
      <c r="RNQ1" s="5"/>
      <c r="RNR1" s="5"/>
      <c r="RNS1" s="5"/>
      <c r="RNU1" s="5"/>
      <c r="RNV1" s="5"/>
      <c r="RNW1" s="5"/>
      <c r="RNY1" s="5"/>
      <c r="RNZ1" s="5"/>
      <c r="ROA1" s="5"/>
      <c r="ROC1" s="5"/>
      <c r="ROD1" s="5"/>
      <c r="ROE1" s="5"/>
      <c r="ROG1" s="5"/>
      <c r="ROH1" s="5"/>
      <c r="ROI1" s="5"/>
      <c r="ROK1" s="5"/>
      <c r="ROL1" s="5"/>
      <c r="ROM1" s="5"/>
      <c r="ROO1" s="5"/>
      <c r="ROP1" s="5"/>
      <c r="ROQ1" s="5"/>
      <c r="ROS1" s="5"/>
      <c r="ROT1" s="5"/>
      <c r="ROU1" s="5"/>
      <c r="ROW1" s="5"/>
      <c r="ROX1" s="5"/>
      <c r="ROY1" s="5"/>
      <c r="RPA1" s="5"/>
      <c r="RPB1" s="5"/>
      <c r="RPC1" s="5"/>
      <c r="RPE1" s="5"/>
      <c r="RPF1" s="5"/>
      <c r="RPG1" s="5"/>
      <c r="RPI1" s="5"/>
      <c r="RPJ1" s="5"/>
      <c r="RPK1" s="5"/>
      <c r="RPM1" s="5"/>
      <c r="RPN1" s="5"/>
      <c r="RPO1" s="5"/>
      <c r="RPQ1" s="5"/>
      <c r="RPR1" s="5"/>
      <c r="RPS1" s="5"/>
      <c r="RPU1" s="5"/>
      <c r="RPV1" s="5"/>
      <c r="RPW1" s="5"/>
      <c r="RPY1" s="5"/>
      <c r="RPZ1" s="5"/>
      <c r="RQA1" s="5"/>
      <c r="RQC1" s="5"/>
      <c r="RQD1" s="5"/>
      <c r="RQE1" s="5"/>
      <c r="RQG1" s="5"/>
      <c r="RQH1" s="5"/>
      <c r="RQI1" s="5"/>
      <c r="RQK1" s="5"/>
      <c r="RQL1" s="5"/>
      <c r="RQM1" s="5"/>
      <c r="RQO1" s="5"/>
      <c r="RQP1" s="5"/>
      <c r="RQQ1" s="5"/>
      <c r="RQS1" s="5"/>
      <c r="RQT1" s="5"/>
      <c r="RQU1" s="5"/>
      <c r="RQW1" s="5"/>
      <c r="RQX1" s="5"/>
      <c r="RQY1" s="5"/>
      <c r="RRA1" s="5"/>
      <c r="RRB1" s="5"/>
      <c r="RRC1" s="5"/>
      <c r="RRE1" s="5"/>
      <c r="RRF1" s="5"/>
      <c r="RRG1" s="5"/>
      <c r="RRI1" s="5"/>
      <c r="RRJ1" s="5"/>
      <c r="RRK1" s="5"/>
      <c r="RRM1" s="5"/>
      <c r="RRN1" s="5"/>
      <c r="RRO1" s="5"/>
      <c r="RRQ1" s="5"/>
      <c r="RRR1" s="5"/>
      <c r="RRS1" s="5"/>
      <c r="RRU1" s="5"/>
      <c r="RRV1" s="5"/>
      <c r="RRW1" s="5"/>
      <c r="RRY1" s="5"/>
      <c r="RRZ1" s="5"/>
      <c r="RSA1" s="5"/>
      <c r="RSC1" s="5"/>
      <c r="RSD1" s="5"/>
      <c r="RSE1" s="5"/>
      <c r="RSG1" s="5"/>
      <c r="RSH1" s="5"/>
      <c r="RSI1" s="5"/>
      <c r="RSK1" s="5"/>
      <c r="RSL1" s="5"/>
      <c r="RSM1" s="5"/>
      <c r="RSO1" s="5"/>
      <c r="RSP1" s="5"/>
      <c r="RSQ1" s="5"/>
      <c r="RSS1" s="5"/>
      <c r="RST1" s="5"/>
      <c r="RSU1" s="5"/>
      <c r="RSW1" s="5"/>
      <c r="RSX1" s="5"/>
      <c r="RSY1" s="5"/>
      <c r="RTA1" s="5"/>
      <c r="RTB1" s="5"/>
      <c r="RTC1" s="5"/>
      <c r="RTE1" s="5"/>
      <c r="RTF1" s="5"/>
      <c r="RTG1" s="5"/>
      <c r="RTI1" s="5"/>
      <c r="RTJ1" s="5"/>
      <c r="RTK1" s="5"/>
      <c r="RTM1" s="5"/>
      <c r="RTN1" s="5"/>
      <c r="RTO1" s="5"/>
      <c r="RTQ1" s="5"/>
      <c r="RTR1" s="5"/>
      <c r="RTS1" s="5"/>
      <c r="RTU1" s="5"/>
      <c r="RTV1" s="5"/>
      <c r="RTW1" s="5"/>
      <c r="RTY1" s="5"/>
      <c r="RTZ1" s="5"/>
      <c r="RUA1" s="5"/>
      <c r="RUC1" s="5"/>
      <c r="RUD1" s="5"/>
      <c r="RUE1" s="5"/>
      <c r="RUG1" s="5"/>
      <c r="RUH1" s="5"/>
      <c r="RUI1" s="5"/>
      <c r="RUK1" s="5"/>
      <c r="RUL1" s="5"/>
      <c r="RUM1" s="5"/>
      <c r="RUO1" s="5"/>
      <c r="RUP1" s="5"/>
      <c r="RUQ1" s="5"/>
      <c r="RUS1" s="5"/>
      <c r="RUT1" s="5"/>
      <c r="RUU1" s="5"/>
      <c r="RUW1" s="5"/>
      <c r="RUX1" s="5"/>
      <c r="RUY1" s="5"/>
      <c r="RVA1" s="5"/>
      <c r="RVB1" s="5"/>
      <c r="RVC1" s="5"/>
      <c r="RVE1" s="5"/>
      <c r="RVF1" s="5"/>
      <c r="RVG1" s="5"/>
      <c r="RVI1" s="5"/>
      <c r="RVJ1" s="5"/>
      <c r="RVK1" s="5"/>
      <c r="RVM1" s="5"/>
      <c r="RVN1" s="5"/>
      <c r="RVO1" s="5"/>
      <c r="RVQ1" s="5"/>
      <c r="RVR1" s="5"/>
      <c r="RVS1" s="5"/>
      <c r="RVU1" s="5"/>
      <c r="RVV1" s="5"/>
      <c r="RVW1" s="5"/>
      <c r="RVY1" s="5"/>
      <c r="RVZ1" s="5"/>
      <c r="RWA1" s="5"/>
      <c r="RWC1" s="5"/>
      <c r="RWD1" s="5"/>
      <c r="RWE1" s="5"/>
      <c r="RWG1" s="5"/>
      <c r="RWH1" s="5"/>
      <c r="RWI1" s="5"/>
      <c r="RWK1" s="5"/>
      <c r="RWL1" s="5"/>
      <c r="RWM1" s="5"/>
      <c r="RWO1" s="5"/>
      <c r="RWP1" s="5"/>
      <c r="RWQ1" s="5"/>
      <c r="RWS1" s="5"/>
      <c r="RWT1" s="5"/>
      <c r="RWU1" s="5"/>
      <c r="RWW1" s="5"/>
      <c r="RWX1" s="5"/>
      <c r="RWY1" s="5"/>
      <c r="RXA1" s="5"/>
      <c r="RXB1" s="5"/>
      <c r="RXC1" s="5"/>
      <c r="RXE1" s="5"/>
      <c r="RXF1" s="5"/>
      <c r="RXG1" s="5"/>
      <c r="RXI1" s="5"/>
      <c r="RXJ1" s="5"/>
      <c r="RXK1" s="5"/>
      <c r="RXM1" s="5"/>
      <c r="RXN1" s="5"/>
      <c r="RXO1" s="5"/>
      <c r="RXQ1" s="5"/>
      <c r="RXR1" s="5"/>
      <c r="RXS1" s="5"/>
      <c r="RXU1" s="5"/>
      <c r="RXV1" s="5"/>
      <c r="RXW1" s="5"/>
      <c r="RXY1" s="5"/>
      <c r="RXZ1" s="5"/>
      <c r="RYA1" s="5"/>
      <c r="RYC1" s="5"/>
      <c r="RYD1" s="5"/>
      <c r="RYE1" s="5"/>
      <c r="RYG1" s="5"/>
      <c r="RYH1" s="5"/>
      <c r="RYI1" s="5"/>
      <c r="RYK1" s="5"/>
      <c r="RYL1" s="5"/>
      <c r="RYM1" s="5"/>
      <c r="RYO1" s="5"/>
      <c r="RYP1" s="5"/>
      <c r="RYQ1" s="5"/>
      <c r="RYS1" s="5"/>
      <c r="RYT1" s="5"/>
      <c r="RYU1" s="5"/>
      <c r="RYW1" s="5"/>
      <c r="RYX1" s="5"/>
      <c r="RYY1" s="5"/>
      <c r="RZA1" s="5"/>
      <c r="RZB1" s="5"/>
      <c r="RZC1" s="5"/>
      <c r="RZE1" s="5"/>
      <c r="RZF1" s="5"/>
      <c r="RZG1" s="5"/>
      <c r="RZI1" s="5"/>
      <c r="RZJ1" s="5"/>
      <c r="RZK1" s="5"/>
      <c r="RZM1" s="5"/>
      <c r="RZN1" s="5"/>
      <c r="RZO1" s="5"/>
      <c r="RZQ1" s="5"/>
      <c r="RZR1" s="5"/>
      <c r="RZS1" s="5"/>
      <c r="RZU1" s="5"/>
      <c r="RZV1" s="5"/>
      <c r="RZW1" s="5"/>
      <c r="RZY1" s="5"/>
      <c r="RZZ1" s="5"/>
      <c r="SAA1" s="5"/>
      <c r="SAC1" s="5"/>
      <c r="SAD1" s="5"/>
      <c r="SAE1" s="5"/>
      <c r="SAG1" s="5"/>
      <c r="SAH1" s="5"/>
      <c r="SAI1" s="5"/>
      <c r="SAK1" s="5"/>
      <c r="SAL1" s="5"/>
      <c r="SAM1" s="5"/>
      <c r="SAO1" s="5"/>
      <c r="SAP1" s="5"/>
      <c r="SAQ1" s="5"/>
      <c r="SAS1" s="5"/>
      <c r="SAT1" s="5"/>
      <c r="SAU1" s="5"/>
      <c r="SAW1" s="5"/>
      <c r="SAX1" s="5"/>
      <c r="SAY1" s="5"/>
      <c r="SBA1" s="5"/>
      <c r="SBB1" s="5"/>
      <c r="SBC1" s="5"/>
      <c r="SBE1" s="5"/>
      <c r="SBF1" s="5"/>
      <c r="SBG1" s="5"/>
      <c r="SBI1" s="5"/>
      <c r="SBJ1" s="5"/>
      <c r="SBK1" s="5"/>
      <c r="SBM1" s="5"/>
      <c r="SBN1" s="5"/>
      <c r="SBO1" s="5"/>
      <c r="SBQ1" s="5"/>
      <c r="SBR1" s="5"/>
      <c r="SBS1" s="5"/>
      <c r="SBU1" s="5"/>
      <c r="SBV1" s="5"/>
      <c r="SBW1" s="5"/>
      <c r="SBY1" s="5"/>
      <c r="SBZ1" s="5"/>
      <c r="SCA1" s="5"/>
      <c r="SCC1" s="5"/>
      <c r="SCD1" s="5"/>
      <c r="SCE1" s="5"/>
      <c r="SCG1" s="5"/>
      <c r="SCH1" s="5"/>
      <c r="SCI1" s="5"/>
      <c r="SCK1" s="5"/>
      <c r="SCL1" s="5"/>
      <c r="SCM1" s="5"/>
      <c r="SCO1" s="5"/>
      <c r="SCP1" s="5"/>
      <c r="SCQ1" s="5"/>
      <c r="SCS1" s="5"/>
      <c r="SCT1" s="5"/>
      <c r="SCU1" s="5"/>
      <c r="SCW1" s="5"/>
      <c r="SCX1" s="5"/>
      <c r="SCY1" s="5"/>
      <c r="SDA1" s="5"/>
      <c r="SDB1" s="5"/>
      <c r="SDC1" s="5"/>
      <c r="SDE1" s="5"/>
      <c r="SDF1" s="5"/>
      <c r="SDG1" s="5"/>
      <c r="SDI1" s="5"/>
      <c r="SDJ1" s="5"/>
      <c r="SDK1" s="5"/>
      <c r="SDM1" s="5"/>
      <c r="SDN1" s="5"/>
      <c r="SDO1" s="5"/>
      <c r="SDQ1" s="5"/>
      <c r="SDR1" s="5"/>
      <c r="SDS1" s="5"/>
      <c r="SDU1" s="5"/>
      <c r="SDV1" s="5"/>
      <c r="SDW1" s="5"/>
      <c r="SDY1" s="5"/>
      <c r="SDZ1" s="5"/>
      <c r="SEA1" s="5"/>
      <c r="SEC1" s="5"/>
      <c r="SED1" s="5"/>
      <c r="SEE1" s="5"/>
      <c r="SEG1" s="5"/>
      <c r="SEH1" s="5"/>
      <c r="SEI1" s="5"/>
      <c r="SEK1" s="5"/>
      <c r="SEL1" s="5"/>
      <c r="SEM1" s="5"/>
      <c r="SEO1" s="5"/>
      <c r="SEP1" s="5"/>
      <c r="SEQ1" s="5"/>
      <c r="SES1" s="5"/>
      <c r="SET1" s="5"/>
      <c r="SEU1" s="5"/>
      <c r="SEW1" s="5"/>
      <c r="SEX1" s="5"/>
      <c r="SEY1" s="5"/>
      <c r="SFA1" s="5"/>
      <c r="SFB1" s="5"/>
      <c r="SFC1" s="5"/>
      <c r="SFE1" s="5"/>
      <c r="SFF1" s="5"/>
      <c r="SFG1" s="5"/>
      <c r="SFI1" s="5"/>
      <c r="SFJ1" s="5"/>
      <c r="SFK1" s="5"/>
      <c r="SFM1" s="5"/>
      <c r="SFN1" s="5"/>
      <c r="SFO1" s="5"/>
      <c r="SFQ1" s="5"/>
      <c r="SFR1" s="5"/>
      <c r="SFS1" s="5"/>
      <c r="SFU1" s="5"/>
      <c r="SFV1" s="5"/>
      <c r="SFW1" s="5"/>
      <c r="SFY1" s="5"/>
      <c r="SFZ1" s="5"/>
      <c r="SGA1" s="5"/>
      <c r="SGC1" s="5"/>
      <c r="SGD1" s="5"/>
      <c r="SGE1" s="5"/>
      <c r="SGG1" s="5"/>
      <c r="SGH1" s="5"/>
      <c r="SGI1" s="5"/>
      <c r="SGK1" s="5"/>
      <c r="SGL1" s="5"/>
      <c r="SGM1" s="5"/>
      <c r="SGO1" s="5"/>
      <c r="SGP1" s="5"/>
      <c r="SGQ1" s="5"/>
      <c r="SGS1" s="5"/>
      <c r="SGT1" s="5"/>
      <c r="SGU1" s="5"/>
      <c r="SGW1" s="5"/>
      <c r="SGX1" s="5"/>
      <c r="SGY1" s="5"/>
      <c r="SHA1" s="5"/>
      <c r="SHB1" s="5"/>
      <c r="SHC1" s="5"/>
      <c r="SHE1" s="5"/>
      <c r="SHF1" s="5"/>
      <c r="SHG1" s="5"/>
      <c r="SHI1" s="5"/>
      <c r="SHJ1" s="5"/>
      <c r="SHK1" s="5"/>
      <c r="SHM1" s="5"/>
      <c r="SHN1" s="5"/>
      <c r="SHO1" s="5"/>
      <c r="SHQ1" s="5"/>
      <c r="SHR1" s="5"/>
      <c r="SHS1" s="5"/>
      <c r="SHU1" s="5"/>
      <c r="SHV1" s="5"/>
      <c r="SHW1" s="5"/>
      <c r="SHY1" s="5"/>
      <c r="SHZ1" s="5"/>
      <c r="SIA1" s="5"/>
      <c r="SIC1" s="5"/>
      <c r="SID1" s="5"/>
      <c r="SIE1" s="5"/>
      <c r="SIG1" s="5"/>
      <c r="SIH1" s="5"/>
      <c r="SII1" s="5"/>
      <c r="SIK1" s="5"/>
      <c r="SIL1" s="5"/>
      <c r="SIM1" s="5"/>
      <c r="SIO1" s="5"/>
      <c r="SIP1" s="5"/>
      <c r="SIQ1" s="5"/>
      <c r="SIS1" s="5"/>
      <c r="SIT1" s="5"/>
      <c r="SIU1" s="5"/>
      <c r="SIW1" s="5"/>
      <c r="SIX1" s="5"/>
      <c r="SIY1" s="5"/>
      <c r="SJA1" s="5"/>
      <c r="SJB1" s="5"/>
      <c r="SJC1" s="5"/>
      <c r="SJE1" s="5"/>
      <c r="SJF1" s="5"/>
      <c r="SJG1" s="5"/>
      <c r="SJI1" s="5"/>
      <c r="SJJ1" s="5"/>
      <c r="SJK1" s="5"/>
      <c r="SJM1" s="5"/>
      <c r="SJN1" s="5"/>
      <c r="SJO1" s="5"/>
      <c r="SJQ1" s="5"/>
      <c r="SJR1" s="5"/>
      <c r="SJS1" s="5"/>
      <c r="SJU1" s="5"/>
      <c r="SJV1" s="5"/>
      <c r="SJW1" s="5"/>
      <c r="SJY1" s="5"/>
      <c r="SJZ1" s="5"/>
      <c r="SKA1" s="5"/>
      <c r="SKC1" s="5"/>
      <c r="SKD1" s="5"/>
      <c r="SKE1" s="5"/>
      <c r="SKG1" s="5"/>
      <c r="SKH1" s="5"/>
      <c r="SKI1" s="5"/>
      <c r="SKK1" s="5"/>
      <c r="SKL1" s="5"/>
      <c r="SKM1" s="5"/>
      <c r="SKO1" s="5"/>
      <c r="SKP1" s="5"/>
      <c r="SKQ1" s="5"/>
      <c r="SKS1" s="5"/>
      <c r="SKT1" s="5"/>
      <c r="SKU1" s="5"/>
      <c r="SKW1" s="5"/>
      <c r="SKX1" s="5"/>
      <c r="SKY1" s="5"/>
      <c r="SLA1" s="5"/>
      <c r="SLB1" s="5"/>
      <c r="SLC1" s="5"/>
      <c r="SLE1" s="5"/>
      <c r="SLF1" s="5"/>
      <c r="SLG1" s="5"/>
      <c r="SLI1" s="5"/>
      <c r="SLJ1" s="5"/>
      <c r="SLK1" s="5"/>
      <c r="SLM1" s="5"/>
      <c r="SLN1" s="5"/>
      <c r="SLO1" s="5"/>
      <c r="SLQ1" s="5"/>
      <c r="SLR1" s="5"/>
      <c r="SLS1" s="5"/>
      <c r="SLU1" s="5"/>
      <c r="SLV1" s="5"/>
      <c r="SLW1" s="5"/>
      <c r="SLY1" s="5"/>
      <c r="SLZ1" s="5"/>
      <c r="SMA1" s="5"/>
      <c r="SMC1" s="5"/>
      <c r="SMD1" s="5"/>
      <c r="SME1" s="5"/>
      <c r="SMG1" s="5"/>
      <c r="SMH1" s="5"/>
      <c r="SMI1" s="5"/>
      <c r="SMK1" s="5"/>
      <c r="SML1" s="5"/>
      <c r="SMM1" s="5"/>
      <c r="SMO1" s="5"/>
      <c r="SMP1" s="5"/>
      <c r="SMQ1" s="5"/>
      <c r="SMS1" s="5"/>
      <c r="SMT1" s="5"/>
      <c r="SMU1" s="5"/>
      <c r="SMW1" s="5"/>
      <c r="SMX1" s="5"/>
      <c r="SMY1" s="5"/>
      <c r="SNA1" s="5"/>
      <c r="SNB1" s="5"/>
      <c r="SNC1" s="5"/>
      <c r="SNE1" s="5"/>
      <c r="SNF1" s="5"/>
      <c r="SNG1" s="5"/>
      <c r="SNI1" s="5"/>
      <c r="SNJ1" s="5"/>
      <c r="SNK1" s="5"/>
      <c r="SNM1" s="5"/>
      <c r="SNN1" s="5"/>
      <c r="SNO1" s="5"/>
      <c r="SNQ1" s="5"/>
      <c r="SNR1" s="5"/>
      <c r="SNS1" s="5"/>
      <c r="SNU1" s="5"/>
      <c r="SNV1" s="5"/>
      <c r="SNW1" s="5"/>
      <c r="SNY1" s="5"/>
      <c r="SNZ1" s="5"/>
      <c r="SOA1" s="5"/>
      <c r="SOC1" s="5"/>
      <c r="SOD1" s="5"/>
      <c r="SOE1" s="5"/>
      <c r="SOG1" s="5"/>
      <c r="SOH1" s="5"/>
      <c r="SOI1" s="5"/>
      <c r="SOK1" s="5"/>
      <c r="SOL1" s="5"/>
      <c r="SOM1" s="5"/>
      <c r="SOO1" s="5"/>
      <c r="SOP1" s="5"/>
      <c r="SOQ1" s="5"/>
      <c r="SOS1" s="5"/>
      <c r="SOT1" s="5"/>
      <c r="SOU1" s="5"/>
      <c r="SOW1" s="5"/>
      <c r="SOX1" s="5"/>
      <c r="SOY1" s="5"/>
      <c r="SPA1" s="5"/>
      <c r="SPB1" s="5"/>
      <c r="SPC1" s="5"/>
      <c r="SPE1" s="5"/>
      <c r="SPF1" s="5"/>
      <c r="SPG1" s="5"/>
      <c r="SPI1" s="5"/>
      <c r="SPJ1" s="5"/>
      <c r="SPK1" s="5"/>
      <c r="SPM1" s="5"/>
      <c r="SPN1" s="5"/>
      <c r="SPO1" s="5"/>
      <c r="SPQ1" s="5"/>
      <c r="SPR1" s="5"/>
      <c r="SPS1" s="5"/>
      <c r="SPU1" s="5"/>
      <c r="SPV1" s="5"/>
      <c r="SPW1" s="5"/>
      <c r="SPY1" s="5"/>
      <c r="SPZ1" s="5"/>
      <c r="SQA1" s="5"/>
      <c r="SQC1" s="5"/>
      <c r="SQD1" s="5"/>
      <c r="SQE1" s="5"/>
      <c r="SQG1" s="5"/>
      <c r="SQH1" s="5"/>
      <c r="SQI1" s="5"/>
      <c r="SQK1" s="5"/>
      <c r="SQL1" s="5"/>
      <c r="SQM1" s="5"/>
      <c r="SQO1" s="5"/>
      <c r="SQP1" s="5"/>
      <c r="SQQ1" s="5"/>
      <c r="SQS1" s="5"/>
      <c r="SQT1" s="5"/>
      <c r="SQU1" s="5"/>
      <c r="SQW1" s="5"/>
      <c r="SQX1" s="5"/>
      <c r="SQY1" s="5"/>
      <c r="SRA1" s="5"/>
      <c r="SRB1" s="5"/>
      <c r="SRC1" s="5"/>
      <c r="SRE1" s="5"/>
      <c r="SRF1" s="5"/>
      <c r="SRG1" s="5"/>
      <c r="SRI1" s="5"/>
      <c r="SRJ1" s="5"/>
      <c r="SRK1" s="5"/>
      <c r="SRM1" s="5"/>
      <c r="SRN1" s="5"/>
      <c r="SRO1" s="5"/>
      <c r="SRQ1" s="5"/>
      <c r="SRR1" s="5"/>
      <c r="SRS1" s="5"/>
      <c r="SRU1" s="5"/>
      <c r="SRV1" s="5"/>
      <c r="SRW1" s="5"/>
      <c r="SRY1" s="5"/>
      <c r="SRZ1" s="5"/>
      <c r="SSA1" s="5"/>
      <c r="SSC1" s="5"/>
      <c r="SSD1" s="5"/>
      <c r="SSE1" s="5"/>
      <c r="SSG1" s="5"/>
      <c r="SSH1" s="5"/>
      <c r="SSI1" s="5"/>
      <c r="SSK1" s="5"/>
      <c r="SSL1" s="5"/>
      <c r="SSM1" s="5"/>
      <c r="SSO1" s="5"/>
      <c r="SSP1" s="5"/>
      <c r="SSQ1" s="5"/>
      <c r="SSS1" s="5"/>
      <c r="SST1" s="5"/>
      <c r="SSU1" s="5"/>
      <c r="SSW1" s="5"/>
      <c r="SSX1" s="5"/>
      <c r="SSY1" s="5"/>
      <c r="STA1" s="5"/>
      <c r="STB1" s="5"/>
      <c r="STC1" s="5"/>
      <c r="STE1" s="5"/>
      <c r="STF1" s="5"/>
      <c r="STG1" s="5"/>
      <c r="STI1" s="5"/>
      <c r="STJ1" s="5"/>
      <c r="STK1" s="5"/>
      <c r="STM1" s="5"/>
      <c r="STN1" s="5"/>
      <c r="STO1" s="5"/>
      <c r="STQ1" s="5"/>
      <c r="STR1" s="5"/>
      <c r="STS1" s="5"/>
      <c r="STU1" s="5"/>
      <c r="STV1" s="5"/>
      <c r="STW1" s="5"/>
      <c r="STY1" s="5"/>
      <c r="STZ1" s="5"/>
      <c r="SUA1" s="5"/>
      <c r="SUC1" s="5"/>
      <c r="SUD1" s="5"/>
      <c r="SUE1" s="5"/>
      <c r="SUG1" s="5"/>
      <c r="SUH1" s="5"/>
      <c r="SUI1" s="5"/>
      <c r="SUK1" s="5"/>
      <c r="SUL1" s="5"/>
      <c r="SUM1" s="5"/>
      <c r="SUO1" s="5"/>
      <c r="SUP1" s="5"/>
      <c r="SUQ1" s="5"/>
      <c r="SUS1" s="5"/>
      <c r="SUT1" s="5"/>
      <c r="SUU1" s="5"/>
      <c r="SUW1" s="5"/>
      <c r="SUX1" s="5"/>
      <c r="SUY1" s="5"/>
      <c r="SVA1" s="5"/>
      <c r="SVB1" s="5"/>
      <c r="SVC1" s="5"/>
      <c r="SVE1" s="5"/>
      <c r="SVF1" s="5"/>
      <c r="SVG1" s="5"/>
      <c r="SVI1" s="5"/>
      <c r="SVJ1" s="5"/>
      <c r="SVK1" s="5"/>
      <c r="SVM1" s="5"/>
      <c r="SVN1" s="5"/>
      <c r="SVO1" s="5"/>
      <c r="SVQ1" s="5"/>
      <c r="SVR1" s="5"/>
      <c r="SVS1" s="5"/>
      <c r="SVU1" s="5"/>
      <c r="SVV1" s="5"/>
      <c r="SVW1" s="5"/>
      <c r="SVY1" s="5"/>
      <c r="SVZ1" s="5"/>
      <c r="SWA1" s="5"/>
      <c r="SWC1" s="5"/>
      <c r="SWD1" s="5"/>
      <c r="SWE1" s="5"/>
      <c r="SWG1" s="5"/>
      <c r="SWH1" s="5"/>
      <c r="SWI1" s="5"/>
      <c r="SWK1" s="5"/>
      <c r="SWL1" s="5"/>
      <c r="SWM1" s="5"/>
      <c r="SWO1" s="5"/>
      <c r="SWP1" s="5"/>
      <c r="SWQ1" s="5"/>
      <c r="SWS1" s="5"/>
      <c r="SWT1" s="5"/>
      <c r="SWU1" s="5"/>
      <c r="SWW1" s="5"/>
      <c r="SWX1" s="5"/>
      <c r="SWY1" s="5"/>
      <c r="SXA1" s="5"/>
      <c r="SXB1" s="5"/>
      <c r="SXC1" s="5"/>
      <c r="SXE1" s="5"/>
      <c r="SXF1" s="5"/>
      <c r="SXG1" s="5"/>
      <c r="SXI1" s="5"/>
      <c r="SXJ1" s="5"/>
      <c r="SXK1" s="5"/>
      <c r="SXM1" s="5"/>
      <c r="SXN1" s="5"/>
      <c r="SXO1" s="5"/>
      <c r="SXQ1" s="5"/>
      <c r="SXR1" s="5"/>
      <c r="SXS1" s="5"/>
      <c r="SXU1" s="5"/>
      <c r="SXV1" s="5"/>
      <c r="SXW1" s="5"/>
      <c r="SXY1" s="5"/>
      <c r="SXZ1" s="5"/>
      <c r="SYA1" s="5"/>
      <c r="SYC1" s="5"/>
      <c r="SYD1" s="5"/>
      <c r="SYE1" s="5"/>
      <c r="SYG1" s="5"/>
      <c r="SYH1" s="5"/>
      <c r="SYI1" s="5"/>
      <c r="SYK1" s="5"/>
      <c r="SYL1" s="5"/>
      <c r="SYM1" s="5"/>
      <c r="SYO1" s="5"/>
      <c r="SYP1" s="5"/>
      <c r="SYQ1" s="5"/>
      <c r="SYS1" s="5"/>
      <c r="SYT1" s="5"/>
      <c r="SYU1" s="5"/>
      <c r="SYW1" s="5"/>
      <c r="SYX1" s="5"/>
      <c r="SYY1" s="5"/>
      <c r="SZA1" s="5"/>
      <c r="SZB1" s="5"/>
      <c r="SZC1" s="5"/>
      <c r="SZE1" s="5"/>
      <c r="SZF1" s="5"/>
      <c r="SZG1" s="5"/>
      <c r="SZI1" s="5"/>
      <c r="SZJ1" s="5"/>
      <c r="SZK1" s="5"/>
      <c r="SZM1" s="5"/>
      <c r="SZN1" s="5"/>
      <c r="SZO1" s="5"/>
      <c r="SZQ1" s="5"/>
      <c r="SZR1" s="5"/>
      <c r="SZS1" s="5"/>
      <c r="SZU1" s="5"/>
      <c r="SZV1" s="5"/>
      <c r="SZW1" s="5"/>
      <c r="SZY1" s="5"/>
      <c r="SZZ1" s="5"/>
      <c r="TAA1" s="5"/>
      <c r="TAC1" s="5"/>
      <c r="TAD1" s="5"/>
      <c r="TAE1" s="5"/>
      <c r="TAG1" s="5"/>
      <c r="TAH1" s="5"/>
      <c r="TAI1" s="5"/>
      <c r="TAK1" s="5"/>
      <c r="TAL1" s="5"/>
      <c r="TAM1" s="5"/>
      <c r="TAO1" s="5"/>
      <c r="TAP1" s="5"/>
      <c r="TAQ1" s="5"/>
      <c r="TAS1" s="5"/>
      <c r="TAT1" s="5"/>
      <c r="TAU1" s="5"/>
      <c r="TAW1" s="5"/>
      <c r="TAX1" s="5"/>
      <c r="TAY1" s="5"/>
      <c r="TBA1" s="5"/>
      <c r="TBB1" s="5"/>
      <c r="TBC1" s="5"/>
      <c r="TBE1" s="5"/>
      <c r="TBF1" s="5"/>
      <c r="TBG1" s="5"/>
      <c r="TBI1" s="5"/>
      <c r="TBJ1" s="5"/>
      <c r="TBK1" s="5"/>
      <c r="TBM1" s="5"/>
      <c r="TBN1" s="5"/>
      <c r="TBO1" s="5"/>
      <c r="TBQ1" s="5"/>
      <c r="TBR1" s="5"/>
      <c r="TBS1" s="5"/>
      <c r="TBU1" s="5"/>
      <c r="TBV1" s="5"/>
      <c r="TBW1" s="5"/>
      <c r="TBY1" s="5"/>
      <c r="TBZ1" s="5"/>
      <c r="TCA1" s="5"/>
      <c r="TCC1" s="5"/>
      <c r="TCD1" s="5"/>
      <c r="TCE1" s="5"/>
      <c r="TCG1" s="5"/>
      <c r="TCH1" s="5"/>
      <c r="TCI1" s="5"/>
      <c r="TCK1" s="5"/>
      <c r="TCL1" s="5"/>
      <c r="TCM1" s="5"/>
      <c r="TCO1" s="5"/>
      <c r="TCP1" s="5"/>
      <c r="TCQ1" s="5"/>
      <c r="TCS1" s="5"/>
      <c r="TCT1" s="5"/>
      <c r="TCU1" s="5"/>
      <c r="TCW1" s="5"/>
      <c r="TCX1" s="5"/>
      <c r="TCY1" s="5"/>
      <c r="TDA1" s="5"/>
      <c r="TDB1" s="5"/>
      <c r="TDC1" s="5"/>
      <c r="TDE1" s="5"/>
      <c r="TDF1" s="5"/>
      <c r="TDG1" s="5"/>
      <c r="TDI1" s="5"/>
      <c r="TDJ1" s="5"/>
      <c r="TDK1" s="5"/>
      <c r="TDM1" s="5"/>
      <c r="TDN1" s="5"/>
      <c r="TDO1" s="5"/>
      <c r="TDQ1" s="5"/>
      <c r="TDR1" s="5"/>
      <c r="TDS1" s="5"/>
      <c r="TDU1" s="5"/>
      <c r="TDV1" s="5"/>
      <c r="TDW1" s="5"/>
      <c r="TDY1" s="5"/>
      <c r="TDZ1" s="5"/>
      <c r="TEA1" s="5"/>
      <c r="TEC1" s="5"/>
      <c r="TED1" s="5"/>
      <c r="TEE1" s="5"/>
      <c r="TEG1" s="5"/>
      <c r="TEH1" s="5"/>
      <c r="TEI1" s="5"/>
      <c r="TEK1" s="5"/>
      <c r="TEL1" s="5"/>
      <c r="TEM1" s="5"/>
      <c r="TEO1" s="5"/>
      <c r="TEP1" s="5"/>
      <c r="TEQ1" s="5"/>
      <c r="TES1" s="5"/>
      <c r="TET1" s="5"/>
      <c r="TEU1" s="5"/>
      <c r="TEW1" s="5"/>
      <c r="TEX1" s="5"/>
      <c r="TEY1" s="5"/>
      <c r="TFA1" s="5"/>
      <c r="TFB1" s="5"/>
      <c r="TFC1" s="5"/>
      <c r="TFE1" s="5"/>
      <c r="TFF1" s="5"/>
      <c r="TFG1" s="5"/>
      <c r="TFI1" s="5"/>
      <c r="TFJ1" s="5"/>
      <c r="TFK1" s="5"/>
      <c r="TFM1" s="5"/>
      <c r="TFN1" s="5"/>
      <c r="TFO1" s="5"/>
      <c r="TFQ1" s="5"/>
      <c r="TFR1" s="5"/>
      <c r="TFS1" s="5"/>
      <c r="TFU1" s="5"/>
      <c r="TFV1" s="5"/>
      <c r="TFW1" s="5"/>
      <c r="TFY1" s="5"/>
      <c r="TFZ1" s="5"/>
      <c r="TGA1" s="5"/>
      <c r="TGC1" s="5"/>
      <c r="TGD1" s="5"/>
      <c r="TGE1" s="5"/>
      <c r="TGG1" s="5"/>
      <c r="TGH1" s="5"/>
      <c r="TGI1" s="5"/>
      <c r="TGK1" s="5"/>
      <c r="TGL1" s="5"/>
      <c r="TGM1" s="5"/>
      <c r="TGO1" s="5"/>
      <c r="TGP1" s="5"/>
      <c r="TGQ1" s="5"/>
      <c r="TGS1" s="5"/>
      <c r="TGT1" s="5"/>
      <c r="TGU1" s="5"/>
      <c r="TGW1" s="5"/>
      <c r="TGX1" s="5"/>
      <c r="TGY1" s="5"/>
      <c r="THA1" s="5"/>
      <c r="THB1" s="5"/>
      <c r="THC1" s="5"/>
      <c r="THE1" s="5"/>
      <c r="THF1" s="5"/>
      <c r="THG1" s="5"/>
      <c r="THI1" s="5"/>
      <c r="THJ1" s="5"/>
      <c r="THK1" s="5"/>
      <c r="THM1" s="5"/>
      <c r="THN1" s="5"/>
      <c r="THO1" s="5"/>
      <c r="THQ1" s="5"/>
      <c r="THR1" s="5"/>
      <c r="THS1" s="5"/>
      <c r="THU1" s="5"/>
      <c r="THV1" s="5"/>
      <c r="THW1" s="5"/>
      <c r="THY1" s="5"/>
      <c r="THZ1" s="5"/>
      <c r="TIA1" s="5"/>
      <c r="TIC1" s="5"/>
      <c r="TID1" s="5"/>
      <c r="TIE1" s="5"/>
      <c r="TIG1" s="5"/>
      <c r="TIH1" s="5"/>
      <c r="TII1" s="5"/>
      <c r="TIK1" s="5"/>
      <c r="TIL1" s="5"/>
      <c r="TIM1" s="5"/>
      <c r="TIO1" s="5"/>
      <c r="TIP1" s="5"/>
      <c r="TIQ1" s="5"/>
      <c r="TIS1" s="5"/>
      <c r="TIT1" s="5"/>
      <c r="TIU1" s="5"/>
      <c r="TIW1" s="5"/>
      <c r="TIX1" s="5"/>
      <c r="TIY1" s="5"/>
      <c r="TJA1" s="5"/>
      <c r="TJB1" s="5"/>
      <c r="TJC1" s="5"/>
      <c r="TJE1" s="5"/>
      <c r="TJF1" s="5"/>
      <c r="TJG1" s="5"/>
      <c r="TJI1" s="5"/>
      <c r="TJJ1" s="5"/>
      <c r="TJK1" s="5"/>
      <c r="TJM1" s="5"/>
      <c r="TJN1" s="5"/>
      <c r="TJO1" s="5"/>
      <c r="TJQ1" s="5"/>
      <c r="TJR1" s="5"/>
      <c r="TJS1" s="5"/>
      <c r="TJU1" s="5"/>
      <c r="TJV1" s="5"/>
      <c r="TJW1" s="5"/>
      <c r="TJY1" s="5"/>
      <c r="TJZ1" s="5"/>
      <c r="TKA1" s="5"/>
      <c r="TKC1" s="5"/>
      <c r="TKD1" s="5"/>
      <c r="TKE1" s="5"/>
      <c r="TKG1" s="5"/>
      <c r="TKH1" s="5"/>
      <c r="TKI1" s="5"/>
      <c r="TKK1" s="5"/>
      <c r="TKL1" s="5"/>
      <c r="TKM1" s="5"/>
      <c r="TKO1" s="5"/>
      <c r="TKP1" s="5"/>
      <c r="TKQ1" s="5"/>
      <c r="TKS1" s="5"/>
      <c r="TKT1" s="5"/>
      <c r="TKU1" s="5"/>
      <c r="TKW1" s="5"/>
      <c r="TKX1" s="5"/>
      <c r="TKY1" s="5"/>
      <c r="TLA1" s="5"/>
      <c r="TLB1" s="5"/>
      <c r="TLC1" s="5"/>
      <c r="TLE1" s="5"/>
      <c r="TLF1" s="5"/>
      <c r="TLG1" s="5"/>
      <c r="TLI1" s="5"/>
      <c r="TLJ1" s="5"/>
      <c r="TLK1" s="5"/>
      <c r="TLM1" s="5"/>
      <c r="TLN1" s="5"/>
      <c r="TLO1" s="5"/>
      <c r="TLQ1" s="5"/>
      <c r="TLR1" s="5"/>
      <c r="TLS1" s="5"/>
      <c r="TLU1" s="5"/>
      <c r="TLV1" s="5"/>
      <c r="TLW1" s="5"/>
      <c r="TLY1" s="5"/>
      <c r="TLZ1" s="5"/>
      <c r="TMA1" s="5"/>
      <c r="TMC1" s="5"/>
      <c r="TMD1" s="5"/>
      <c r="TME1" s="5"/>
      <c r="TMG1" s="5"/>
      <c r="TMH1" s="5"/>
      <c r="TMI1" s="5"/>
      <c r="TMK1" s="5"/>
      <c r="TML1" s="5"/>
      <c r="TMM1" s="5"/>
      <c r="TMO1" s="5"/>
      <c r="TMP1" s="5"/>
      <c r="TMQ1" s="5"/>
      <c r="TMS1" s="5"/>
      <c r="TMT1" s="5"/>
      <c r="TMU1" s="5"/>
      <c r="TMW1" s="5"/>
      <c r="TMX1" s="5"/>
      <c r="TMY1" s="5"/>
      <c r="TNA1" s="5"/>
      <c r="TNB1" s="5"/>
      <c r="TNC1" s="5"/>
      <c r="TNE1" s="5"/>
      <c r="TNF1" s="5"/>
      <c r="TNG1" s="5"/>
      <c r="TNI1" s="5"/>
      <c r="TNJ1" s="5"/>
      <c r="TNK1" s="5"/>
      <c r="TNM1" s="5"/>
      <c r="TNN1" s="5"/>
      <c r="TNO1" s="5"/>
      <c r="TNQ1" s="5"/>
      <c r="TNR1" s="5"/>
      <c r="TNS1" s="5"/>
      <c r="TNU1" s="5"/>
      <c r="TNV1" s="5"/>
      <c r="TNW1" s="5"/>
      <c r="TNY1" s="5"/>
      <c r="TNZ1" s="5"/>
      <c r="TOA1" s="5"/>
      <c r="TOC1" s="5"/>
      <c r="TOD1" s="5"/>
      <c r="TOE1" s="5"/>
      <c r="TOG1" s="5"/>
      <c r="TOH1" s="5"/>
      <c r="TOI1" s="5"/>
      <c r="TOK1" s="5"/>
      <c r="TOL1" s="5"/>
      <c r="TOM1" s="5"/>
      <c r="TOO1" s="5"/>
      <c r="TOP1" s="5"/>
      <c r="TOQ1" s="5"/>
      <c r="TOS1" s="5"/>
      <c r="TOT1" s="5"/>
      <c r="TOU1" s="5"/>
      <c r="TOW1" s="5"/>
      <c r="TOX1" s="5"/>
      <c r="TOY1" s="5"/>
      <c r="TPA1" s="5"/>
      <c r="TPB1" s="5"/>
      <c r="TPC1" s="5"/>
      <c r="TPE1" s="5"/>
      <c r="TPF1" s="5"/>
      <c r="TPG1" s="5"/>
      <c r="TPI1" s="5"/>
      <c r="TPJ1" s="5"/>
      <c r="TPK1" s="5"/>
      <c r="TPM1" s="5"/>
      <c r="TPN1" s="5"/>
      <c r="TPO1" s="5"/>
      <c r="TPQ1" s="5"/>
      <c r="TPR1" s="5"/>
      <c r="TPS1" s="5"/>
      <c r="TPU1" s="5"/>
      <c r="TPV1" s="5"/>
      <c r="TPW1" s="5"/>
      <c r="TPY1" s="5"/>
      <c r="TPZ1" s="5"/>
      <c r="TQA1" s="5"/>
      <c r="TQC1" s="5"/>
      <c r="TQD1" s="5"/>
      <c r="TQE1" s="5"/>
      <c r="TQG1" s="5"/>
      <c r="TQH1" s="5"/>
      <c r="TQI1" s="5"/>
      <c r="TQK1" s="5"/>
      <c r="TQL1" s="5"/>
      <c r="TQM1" s="5"/>
      <c r="TQO1" s="5"/>
      <c r="TQP1" s="5"/>
      <c r="TQQ1" s="5"/>
      <c r="TQS1" s="5"/>
      <c r="TQT1" s="5"/>
      <c r="TQU1" s="5"/>
      <c r="TQW1" s="5"/>
      <c r="TQX1" s="5"/>
      <c r="TQY1" s="5"/>
      <c r="TRA1" s="5"/>
      <c r="TRB1" s="5"/>
      <c r="TRC1" s="5"/>
      <c r="TRE1" s="5"/>
      <c r="TRF1" s="5"/>
      <c r="TRG1" s="5"/>
      <c r="TRI1" s="5"/>
      <c r="TRJ1" s="5"/>
      <c r="TRK1" s="5"/>
      <c r="TRM1" s="5"/>
      <c r="TRN1" s="5"/>
      <c r="TRO1" s="5"/>
      <c r="TRQ1" s="5"/>
      <c r="TRR1" s="5"/>
      <c r="TRS1" s="5"/>
      <c r="TRU1" s="5"/>
      <c r="TRV1" s="5"/>
      <c r="TRW1" s="5"/>
      <c r="TRY1" s="5"/>
      <c r="TRZ1" s="5"/>
      <c r="TSA1" s="5"/>
      <c r="TSC1" s="5"/>
      <c r="TSD1" s="5"/>
      <c r="TSE1" s="5"/>
      <c r="TSG1" s="5"/>
      <c r="TSH1" s="5"/>
      <c r="TSI1" s="5"/>
      <c r="TSK1" s="5"/>
      <c r="TSL1" s="5"/>
      <c r="TSM1" s="5"/>
      <c r="TSO1" s="5"/>
      <c r="TSP1" s="5"/>
      <c r="TSQ1" s="5"/>
      <c r="TSS1" s="5"/>
      <c r="TST1" s="5"/>
      <c r="TSU1" s="5"/>
      <c r="TSW1" s="5"/>
      <c r="TSX1" s="5"/>
      <c r="TSY1" s="5"/>
      <c r="TTA1" s="5"/>
      <c r="TTB1" s="5"/>
      <c r="TTC1" s="5"/>
      <c r="TTE1" s="5"/>
      <c r="TTF1" s="5"/>
      <c r="TTG1" s="5"/>
      <c r="TTI1" s="5"/>
      <c r="TTJ1" s="5"/>
      <c r="TTK1" s="5"/>
      <c r="TTM1" s="5"/>
      <c r="TTN1" s="5"/>
      <c r="TTO1" s="5"/>
      <c r="TTQ1" s="5"/>
      <c r="TTR1" s="5"/>
      <c r="TTS1" s="5"/>
      <c r="TTU1" s="5"/>
      <c r="TTV1" s="5"/>
      <c r="TTW1" s="5"/>
      <c r="TTY1" s="5"/>
      <c r="TTZ1" s="5"/>
      <c r="TUA1" s="5"/>
      <c r="TUC1" s="5"/>
      <c r="TUD1" s="5"/>
      <c r="TUE1" s="5"/>
      <c r="TUG1" s="5"/>
      <c r="TUH1" s="5"/>
      <c r="TUI1" s="5"/>
      <c r="TUK1" s="5"/>
      <c r="TUL1" s="5"/>
      <c r="TUM1" s="5"/>
      <c r="TUO1" s="5"/>
      <c r="TUP1" s="5"/>
      <c r="TUQ1" s="5"/>
      <c r="TUS1" s="5"/>
      <c r="TUT1" s="5"/>
      <c r="TUU1" s="5"/>
      <c r="TUW1" s="5"/>
      <c r="TUX1" s="5"/>
      <c r="TUY1" s="5"/>
      <c r="TVA1" s="5"/>
      <c r="TVB1" s="5"/>
      <c r="TVC1" s="5"/>
      <c r="TVE1" s="5"/>
      <c r="TVF1" s="5"/>
      <c r="TVG1" s="5"/>
      <c r="TVI1" s="5"/>
      <c r="TVJ1" s="5"/>
      <c r="TVK1" s="5"/>
      <c r="TVM1" s="5"/>
      <c r="TVN1" s="5"/>
      <c r="TVO1" s="5"/>
      <c r="TVQ1" s="5"/>
      <c r="TVR1" s="5"/>
      <c r="TVS1" s="5"/>
      <c r="TVU1" s="5"/>
      <c r="TVV1" s="5"/>
      <c r="TVW1" s="5"/>
      <c r="TVY1" s="5"/>
      <c r="TVZ1" s="5"/>
      <c r="TWA1" s="5"/>
      <c r="TWC1" s="5"/>
      <c r="TWD1" s="5"/>
      <c r="TWE1" s="5"/>
      <c r="TWG1" s="5"/>
      <c r="TWH1" s="5"/>
      <c r="TWI1" s="5"/>
      <c r="TWK1" s="5"/>
      <c r="TWL1" s="5"/>
      <c r="TWM1" s="5"/>
      <c r="TWO1" s="5"/>
      <c r="TWP1" s="5"/>
      <c r="TWQ1" s="5"/>
      <c r="TWS1" s="5"/>
      <c r="TWT1" s="5"/>
      <c r="TWU1" s="5"/>
      <c r="TWW1" s="5"/>
      <c r="TWX1" s="5"/>
      <c r="TWY1" s="5"/>
      <c r="TXA1" s="5"/>
      <c r="TXB1" s="5"/>
      <c r="TXC1" s="5"/>
      <c r="TXE1" s="5"/>
      <c r="TXF1" s="5"/>
      <c r="TXG1" s="5"/>
      <c r="TXI1" s="5"/>
      <c r="TXJ1" s="5"/>
      <c r="TXK1" s="5"/>
      <c r="TXM1" s="5"/>
      <c r="TXN1" s="5"/>
      <c r="TXO1" s="5"/>
      <c r="TXQ1" s="5"/>
      <c r="TXR1" s="5"/>
      <c r="TXS1" s="5"/>
      <c r="TXU1" s="5"/>
      <c r="TXV1" s="5"/>
      <c r="TXW1" s="5"/>
      <c r="TXY1" s="5"/>
      <c r="TXZ1" s="5"/>
      <c r="TYA1" s="5"/>
      <c r="TYC1" s="5"/>
      <c r="TYD1" s="5"/>
      <c r="TYE1" s="5"/>
      <c r="TYG1" s="5"/>
      <c r="TYH1" s="5"/>
      <c r="TYI1" s="5"/>
      <c r="TYK1" s="5"/>
      <c r="TYL1" s="5"/>
      <c r="TYM1" s="5"/>
      <c r="TYO1" s="5"/>
      <c r="TYP1" s="5"/>
      <c r="TYQ1" s="5"/>
      <c r="TYS1" s="5"/>
      <c r="TYT1" s="5"/>
      <c r="TYU1" s="5"/>
      <c r="TYW1" s="5"/>
      <c r="TYX1" s="5"/>
      <c r="TYY1" s="5"/>
      <c r="TZA1" s="5"/>
      <c r="TZB1" s="5"/>
      <c r="TZC1" s="5"/>
      <c r="TZE1" s="5"/>
      <c r="TZF1" s="5"/>
      <c r="TZG1" s="5"/>
      <c r="TZI1" s="5"/>
      <c r="TZJ1" s="5"/>
      <c r="TZK1" s="5"/>
      <c r="TZM1" s="5"/>
      <c r="TZN1" s="5"/>
      <c r="TZO1" s="5"/>
      <c r="TZQ1" s="5"/>
      <c r="TZR1" s="5"/>
      <c r="TZS1" s="5"/>
      <c r="TZU1" s="5"/>
      <c r="TZV1" s="5"/>
      <c r="TZW1" s="5"/>
      <c r="TZY1" s="5"/>
      <c r="TZZ1" s="5"/>
      <c r="UAA1" s="5"/>
      <c r="UAC1" s="5"/>
      <c r="UAD1" s="5"/>
      <c r="UAE1" s="5"/>
      <c r="UAG1" s="5"/>
      <c r="UAH1" s="5"/>
      <c r="UAI1" s="5"/>
      <c r="UAK1" s="5"/>
      <c r="UAL1" s="5"/>
      <c r="UAM1" s="5"/>
      <c r="UAO1" s="5"/>
      <c r="UAP1" s="5"/>
      <c r="UAQ1" s="5"/>
      <c r="UAS1" s="5"/>
      <c r="UAT1" s="5"/>
      <c r="UAU1" s="5"/>
      <c r="UAW1" s="5"/>
      <c r="UAX1" s="5"/>
      <c r="UAY1" s="5"/>
      <c r="UBA1" s="5"/>
      <c r="UBB1" s="5"/>
      <c r="UBC1" s="5"/>
      <c r="UBE1" s="5"/>
      <c r="UBF1" s="5"/>
      <c r="UBG1" s="5"/>
      <c r="UBI1" s="5"/>
      <c r="UBJ1" s="5"/>
      <c r="UBK1" s="5"/>
      <c r="UBM1" s="5"/>
      <c r="UBN1" s="5"/>
      <c r="UBO1" s="5"/>
      <c r="UBQ1" s="5"/>
      <c r="UBR1" s="5"/>
      <c r="UBS1" s="5"/>
      <c r="UBU1" s="5"/>
      <c r="UBV1" s="5"/>
      <c r="UBW1" s="5"/>
      <c r="UBY1" s="5"/>
      <c r="UBZ1" s="5"/>
      <c r="UCA1" s="5"/>
      <c r="UCC1" s="5"/>
      <c r="UCD1" s="5"/>
      <c r="UCE1" s="5"/>
      <c r="UCG1" s="5"/>
      <c r="UCH1" s="5"/>
      <c r="UCI1" s="5"/>
      <c r="UCK1" s="5"/>
      <c r="UCL1" s="5"/>
      <c r="UCM1" s="5"/>
      <c r="UCO1" s="5"/>
      <c r="UCP1" s="5"/>
      <c r="UCQ1" s="5"/>
      <c r="UCS1" s="5"/>
      <c r="UCT1" s="5"/>
      <c r="UCU1" s="5"/>
      <c r="UCW1" s="5"/>
      <c r="UCX1" s="5"/>
      <c r="UCY1" s="5"/>
      <c r="UDA1" s="5"/>
      <c r="UDB1" s="5"/>
      <c r="UDC1" s="5"/>
      <c r="UDE1" s="5"/>
      <c r="UDF1" s="5"/>
      <c r="UDG1" s="5"/>
      <c r="UDI1" s="5"/>
      <c r="UDJ1" s="5"/>
      <c r="UDK1" s="5"/>
      <c r="UDM1" s="5"/>
      <c r="UDN1" s="5"/>
      <c r="UDO1" s="5"/>
      <c r="UDQ1" s="5"/>
      <c r="UDR1" s="5"/>
      <c r="UDS1" s="5"/>
      <c r="UDU1" s="5"/>
      <c r="UDV1" s="5"/>
      <c r="UDW1" s="5"/>
      <c r="UDY1" s="5"/>
      <c r="UDZ1" s="5"/>
      <c r="UEA1" s="5"/>
      <c r="UEC1" s="5"/>
      <c r="UED1" s="5"/>
      <c r="UEE1" s="5"/>
      <c r="UEG1" s="5"/>
      <c r="UEH1" s="5"/>
      <c r="UEI1" s="5"/>
      <c r="UEK1" s="5"/>
      <c r="UEL1" s="5"/>
      <c r="UEM1" s="5"/>
      <c r="UEO1" s="5"/>
      <c r="UEP1" s="5"/>
      <c r="UEQ1" s="5"/>
      <c r="UES1" s="5"/>
      <c r="UET1" s="5"/>
      <c r="UEU1" s="5"/>
      <c r="UEW1" s="5"/>
      <c r="UEX1" s="5"/>
      <c r="UEY1" s="5"/>
      <c r="UFA1" s="5"/>
      <c r="UFB1" s="5"/>
      <c r="UFC1" s="5"/>
      <c r="UFE1" s="5"/>
      <c r="UFF1" s="5"/>
      <c r="UFG1" s="5"/>
      <c r="UFI1" s="5"/>
      <c r="UFJ1" s="5"/>
      <c r="UFK1" s="5"/>
      <c r="UFM1" s="5"/>
      <c r="UFN1" s="5"/>
      <c r="UFO1" s="5"/>
      <c r="UFQ1" s="5"/>
      <c r="UFR1" s="5"/>
      <c r="UFS1" s="5"/>
      <c r="UFU1" s="5"/>
      <c r="UFV1" s="5"/>
      <c r="UFW1" s="5"/>
      <c r="UFY1" s="5"/>
      <c r="UFZ1" s="5"/>
      <c r="UGA1" s="5"/>
      <c r="UGC1" s="5"/>
      <c r="UGD1" s="5"/>
      <c r="UGE1" s="5"/>
      <c r="UGG1" s="5"/>
      <c r="UGH1" s="5"/>
      <c r="UGI1" s="5"/>
      <c r="UGK1" s="5"/>
      <c r="UGL1" s="5"/>
      <c r="UGM1" s="5"/>
      <c r="UGO1" s="5"/>
      <c r="UGP1" s="5"/>
      <c r="UGQ1" s="5"/>
      <c r="UGS1" s="5"/>
      <c r="UGT1" s="5"/>
      <c r="UGU1" s="5"/>
      <c r="UGW1" s="5"/>
      <c r="UGX1" s="5"/>
      <c r="UGY1" s="5"/>
      <c r="UHA1" s="5"/>
      <c r="UHB1" s="5"/>
      <c r="UHC1" s="5"/>
      <c r="UHE1" s="5"/>
      <c r="UHF1" s="5"/>
      <c r="UHG1" s="5"/>
      <c r="UHI1" s="5"/>
      <c r="UHJ1" s="5"/>
      <c r="UHK1" s="5"/>
      <c r="UHM1" s="5"/>
      <c r="UHN1" s="5"/>
      <c r="UHO1" s="5"/>
      <c r="UHQ1" s="5"/>
      <c r="UHR1" s="5"/>
      <c r="UHS1" s="5"/>
      <c r="UHU1" s="5"/>
      <c r="UHV1" s="5"/>
      <c r="UHW1" s="5"/>
      <c r="UHY1" s="5"/>
      <c r="UHZ1" s="5"/>
      <c r="UIA1" s="5"/>
      <c r="UIC1" s="5"/>
      <c r="UID1" s="5"/>
      <c r="UIE1" s="5"/>
      <c r="UIG1" s="5"/>
      <c r="UIH1" s="5"/>
      <c r="UII1" s="5"/>
      <c r="UIK1" s="5"/>
      <c r="UIL1" s="5"/>
      <c r="UIM1" s="5"/>
      <c r="UIO1" s="5"/>
      <c r="UIP1" s="5"/>
      <c r="UIQ1" s="5"/>
      <c r="UIS1" s="5"/>
      <c r="UIT1" s="5"/>
      <c r="UIU1" s="5"/>
      <c r="UIW1" s="5"/>
      <c r="UIX1" s="5"/>
      <c r="UIY1" s="5"/>
      <c r="UJA1" s="5"/>
      <c r="UJB1" s="5"/>
      <c r="UJC1" s="5"/>
      <c r="UJE1" s="5"/>
      <c r="UJF1" s="5"/>
      <c r="UJG1" s="5"/>
      <c r="UJI1" s="5"/>
      <c r="UJJ1" s="5"/>
      <c r="UJK1" s="5"/>
      <c r="UJM1" s="5"/>
      <c r="UJN1" s="5"/>
      <c r="UJO1" s="5"/>
      <c r="UJQ1" s="5"/>
      <c r="UJR1" s="5"/>
      <c r="UJS1" s="5"/>
      <c r="UJU1" s="5"/>
      <c r="UJV1" s="5"/>
      <c r="UJW1" s="5"/>
      <c r="UJY1" s="5"/>
      <c r="UJZ1" s="5"/>
      <c r="UKA1" s="5"/>
      <c r="UKC1" s="5"/>
      <c r="UKD1" s="5"/>
      <c r="UKE1" s="5"/>
      <c r="UKG1" s="5"/>
      <c r="UKH1" s="5"/>
      <c r="UKI1" s="5"/>
      <c r="UKK1" s="5"/>
      <c r="UKL1" s="5"/>
      <c r="UKM1" s="5"/>
      <c r="UKO1" s="5"/>
      <c r="UKP1" s="5"/>
      <c r="UKQ1" s="5"/>
      <c r="UKS1" s="5"/>
      <c r="UKT1" s="5"/>
      <c r="UKU1" s="5"/>
      <c r="UKW1" s="5"/>
      <c r="UKX1" s="5"/>
      <c r="UKY1" s="5"/>
      <c r="ULA1" s="5"/>
      <c r="ULB1" s="5"/>
      <c r="ULC1" s="5"/>
      <c r="ULE1" s="5"/>
      <c r="ULF1" s="5"/>
      <c r="ULG1" s="5"/>
      <c r="ULI1" s="5"/>
      <c r="ULJ1" s="5"/>
      <c r="ULK1" s="5"/>
      <c r="ULM1" s="5"/>
      <c r="ULN1" s="5"/>
      <c r="ULO1" s="5"/>
      <c r="ULQ1" s="5"/>
      <c r="ULR1" s="5"/>
      <c r="ULS1" s="5"/>
      <c r="ULU1" s="5"/>
      <c r="ULV1" s="5"/>
      <c r="ULW1" s="5"/>
      <c r="ULY1" s="5"/>
      <c r="ULZ1" s="5"/>
      <c r="UMA1" s="5"/>
      <c r="UMC1" s="5"/>
      <c r="UMD1" s="5"/>
      <c r="UME1" s="5"/>
      <c r="UMG1" s="5"/>
      <c r="UMH1" s="5"/>
      <c r="UMI1" s="5"/>
      <c r="UMK1" s="5"/>
      <c r="UML1" s="5"/>
      <c r="UMM1" s="5"/>
      <c r="UMO1" s="5"/>
      <c r="UMP1" s="5"/>
      <c r="UMQ1" s="5"/>
      <c r="UMS1" s="5"/>
      <c r="UMT1" s="5"/>
      <c r="UMU1" s="5"/>
      <c r="UMW1" s="5"/>
      <c r="UMX1" s="5"/>
      <c r="UMY1" s="5"/>
      <c r="UNA1" s="5"/>
      <c r="UNB1" s="5"/>
      <c r="UNC1" s="5"/>
      <c r="UNE1" s="5"/>
      <c r="UNF1" s="5"/>
      <c r="UNG1" s="5"/>
      <c r="UNI1" s="5"/>
      <c r="UNJ1" s="5"/>
      <c r="UNK1" s="5"/>
      <c r="UNM1" s="5"/>
      <c r="UNN1" s="5"/>
      <c r="UNO1" s="5"/>
      <c r="UNQ1" s="5"/>
      <c r="UNR1" s="5"/>
      <c r="UNS1" s="5"/>
      <c r="UNU1" s="5"/>
      <c r="UNV1" s="5"/>
      <c r="UNW1" s="5"/>
      <c r="UNY1" s="5"/>
      <c r="UNZ1" s="5"/>
      <c r="UOA1" s="5"/>
      <c r="UOC1" s="5"/>
      <c r="UOD1" s="5"/>
      <c r="UOE1" s="5"/>
      <c r="UOG1" s="5"/>
      <c r="UOH1" s="5"/>
      <c r="UOI1" s="5"/>
      <c r="UOK1" s="5"/>
      <c r="UOL1" s="5"/>
      <c r="UOM1" s="5"/>
      <c r="UOO1" s="5"/>
      <c r="UOP1" s="5"/>
      <c r="UOQ1" s="5"/>
      <c r="UOS1" s="5"/>
      <c r="UOT1" s="5"/>
      <c r="UOU1" s="5"/>
      <c r="UOW1" s="5"/>
      <c r="UOX1" s="5"/>
      <c r="UOY1" s="5"/>
      <c r="UPA1" s="5"/>
      <c r="UPB1" s="5"/>
      <c r="UPC1" s="5"/>
      <c r="UPE1" s="5"/>
      <c r="UPF1" s="5"/>
      <c r="UPG1" s="5"/>
      <c r="UPI1" s="5"/>
      <c r="UPJ1" s="5"/>
      <c r="UPK1" s="5"/>
      <c r="UPM1" s="5"/>
      <c r="UPN1" s="5"/>
      <c r="UPO1" s="5"/>
      <c r="UPQ1" s="5"/>
      <c r="UPR1" s="5"/>
      <c r="UPS1" s="5"/>
      <c r="UPU1" s="5"/>
      <c r="UPV1" s="5"/>
      <c r="UPW1" s="5"/>
      <c r="UPY1" s="5"/>
      <c r="UPZ1" s="5"/>
      <c r="UQA1" s="5"/>
      <c r="UQC1" s="5"/>
      <c r="UQD1" s="5"/>
      <c r="UQE1" s="5"/>
      <c r="UQG1" s="5"/>
      <c r="UQH1" s="5"/>
      <c r="UQI1" s="5"/>
      <c r="UQK1" s="5"/>
      <c r="UQL1" s="5"/>
      <c r="UQM1" s="5"/>
      <c r="UQO1" s="5"/>
      <c r="UQP1" s="5"/>
      <c r="UQQ1" s="5"/>
      <c r="UQS1" s="5"/>
      <c r="UQT1" s="5"/>
      <c r="UQU1" s="5"/>
      <c r="UQW1" s="5"/>
      <c r="UQX1" s="5"/>
      <c r="UQY1" s="5"/>
      <c r="URA1" s="5"/>
      <c r="URB1" s="5"/>
      <c r="URC1" s="5"/>
      <c r="URE1" s="5"/>
      <c r="URF1" s="5"/>
      <c r="URG1" s="5"/>
      <c r="URI1" s="5"/>
      <c r="URJ1" s="5"/>
      <c r="URK1" s="5"/>
      <c r="URM1" s="5"/>
      <c r="URN1" s="5"/>
      <c r="URO1" s="5"/>
      <c r="URQ1" s="5"/>
      <c r="URR1" s="5"/>
      <c r="URS1" s="5"/>
      <c r="URU1" s="5"/>
      <c r="URV1" s="5"/>
      <c r="URW1" s="5"/>
      <c r="URY1" s="5"/>
      <c r="URZ1" s="5"/>
      <c r="USA1" s="5"/>
      <c r="USC1" s="5"/>
      <c r="USD1" s="5"/>
      <c r="USE1" s="5"/>
      <c r="USG1" s="5"/>
      <c r="USH1" s="5"/>
      <c r="USI1" s="5"/>
      <c r="USK1" s="5"/>
      <c r="USL1" s="5"/>
      <c r="USM1" s="5"/>
      <c r="USO1" s="5"/>
      <c r="USP1" s="5"/>
      <c r="USQ1" s="5"/>
      <c r="USS1" s="5"/>
      <c r="UST1" s="5"/>
      <c r="USU1" s="5"/>
      <c r="USW1" s="5"/>
      <c r="USX1" s="5"/>
      <c r="USY1" s="5"/>
      <c r="UTA1" s="5"/>
      <c r="UTB1" s="5"/>
      <c r="UTC1" s="5"/>
      <c r="UTE1" s="5"/>
      <c r="UTF1" s="5"/>
      <c r="UTG1" s="5"/>
      <c r="UTI1" s="5"/>
      <c r="UTJ1" s="5"/>
      <c r="UTK1" s="5"/>
      <c r="UTM1" s="5"/>
      <c r="UTN1" s="5"/>
      <c r="UTO1" s="5"/>
      <c r="UTQ1" s="5"/>
      <c r="UTR1" s="5"/>
      <c r="UTS1" s="5"/>
      <c r="UTU1" s="5"/>
      <c r="UTV1" s="5"/>
      <c r="UTW1" s="5"/>
      <c r="UTY1" s="5"/>
      <c r="UTZ1" s="5"/>
      <c r="UUA1" s="5"/>
      <c r="UUC1" s="5"/>
      <c r="UUD1" s="5"/>
      <c r="UUE1" s="5"/>
      <c r="UUG1" s="5"/>
      <c r="UUH1" s="5"/>
      <c r="UUI1" s="5"/>
      <c r="UUK1" s="5"/>
      <c r="UUL1" s="5"/>
      <c r="UUM1" s="5"/>
      <c r="UUO1" s="5"/>
      <c r="UUP1" s="5"/>
      <c r="UUQ1" s="5"/>
      <c r="UUS1" s="5"/>
      <c r="UUT1" s="5"/>
      <c r="UUU1" s="5"/>
      <c r="UUW1" s="5"/>
      <c r="UUX1" s="5"/>
      <c r="UUY1" s="5"/>
      <c r="UVA1" s="5"/>
      <c r="UVB1" s="5"/>
      <c r="UVC1" s="5"/>
      <c r="UVE1" s="5"/>
      <c r="UVF1" s="5"/>
      <c r="UVG1" s="5"/>
      <c r="UVI1" s="5"/>
      <c r="UVJ1" s="5"/>
      <c r="UVK1" s="5"/>
      <c r="UVM1" s="5"/>
      <c r="UVN1" s="5"/>
      <c r="UVO1" s="5"/>
      <c r="UVQ1" s="5"/>
      <c r="UVR1" s="5"/>
      <c r="UVS1" s="5"/>
      <c r="UVU1" s="5"/>
      <c r="UVV1" s="5"/>
      <c r="UVW1" s="5"/>
      <c r="UVY1" s="5"/>
      <c r="UVZ1" s="5"/>
      <c r="UWA1" s="5"/>
      <c r="UWC1" s="5"/>
      <c r="UWD1" s="5"/>
      <c r="UWE1" s="5"/>
      <c r="UWG1" s="5"/>
      <c r="UWH1" s="5"/>
      <c r="UWI1" s="5"/>
      <c r="UWK1" s="5"/>
      <c r="UWL1" s="5"/>
      <c r="UWM1" s="5"/>
      <c r="UWO1" s="5"/>
      <c r="UWP1" s="5"/>
      <c r="UWQ1" s="5"/>
      <c r="UWS1" s="5"/>
      <c r="UWT1" s="5"/>
      <c r="UWU1" s="5"/>
      <c r="UWW1" s="5"/>
      <c r="UWX1" s="5"/>
      <c r="UWY1" s="5"/>
      <c r="UXA1" s="5"/>
      <c r="UXB1" s="5"/>
      <c r="UXC1" s="5"/>
      <c r="UXE1" s="5"/>
      <c r="UXF1" s="5"/>
      <c r="UXG1" s="5"/>
      <c r="UXI1" s="5"/>
      <c r="UXJ1" s="5"/>
      <c r="UXK1" s="5"/>
      <c r="UXM1" s="5"/>
      <c r="UXN1" s="5"/>
      <c r="UXO1" s="5"/>
      <c r="UXQ1" s="5"/>
      <c r="UXR1" s="5"/>
      <c r="UXS1" s="5"/>
      <c r="UXU1" s="5"/>
      <c r="UXV1" s="5"/>
      <c r="UXW1" s="5"/>
      <c r="UXY1" s="5"/>
      <c r="UXZ1" s="5"/>
      <c r="UYA1" s="5"/>
      <c r="UYC1" s="5"/>
      <c r="UYD1" s="5"/>
      <c r="UYE1" s="5"/>
      <c r="UYG1" s="5"/>
      <c r="UYH1" s="5"/>
      <c r="UYI1" s="5"/>
      <c r="UYK1" s="5"/>
      <c r="UYL1" s="5"/>
      <c r="UYM1" s="5"/>
      <c r="UYO1" s="5"/>
      <c r="UYP1" s="5"/>
      <c r="UYQ1" s="5"/>
      <c r="UYS1" s="5"/>
      <c r="UYT1" s="5"/>
      <c r="UYU1" s="5"/>
      <c r="UYW1" s="5"/>
      <c r="UYX1" s="5"/>
      <c r="UYY1" s="5"/>
      <c r="UZA1" s="5"/>
      <c r="UZB1" s="5"/>
      <c r="UZC1" s="5"/>
      <c r="UZE1" s="5"/>
      <c r="UZF1" s="5"/>
      <c r="UZG1" s="5"/>
      <c r="UZI1" s="5"/>
      <c r="UZJ1" s="5"/>
      <c r="UZK1" s="5"/>
      <c r="UZM1" s="5"/>
      <c r="UZN1" s="5"/>
      <c r="UZO1" s="5"/>
      <c r="UZQ1" s="5"/>
      <c r="UZR1" s="5"/>
      <c r="UZS1" s="5"/>
      <c r="UZU1" s="5"/>
      <c r="UZV1" s="5"/>
      <c r="UZW1" s="5"/>
      <c r="UZY1" s="5"/>
      <c r="UZZ1" s="5"/>
      <c r="VAA1" s="5"/>
      <c r="VAC1" s="5"/>
      <c r="VAD1" s="5"/>
      <c r="VAE1" s="5"/>
      <c r="VAG1" s="5"/>
      <c r="VAH1" s="5"/>
      <c r="VAI1" s="5"/>
      <c r="VAK1" s="5"/>
      <c r="VAL1" s="5"/>
      <c r="VAM1" s="5"/>
      <c r="VAO1" s="5"/>
      <c r="VAP1" s="5"/>
      <c r="VAQ1" s="5"/>
      <c r="VAS1" s="5"/>
      <c r="VAT1" s="5"/>
      <c r="VAU1" s="5"/>
      <c r="VAW1" s="5"/>
      <c r="VAX1" s="5"/>
      <c r="VAY1" s="5"/>
      <c r="VBA1" s="5"/>
      <c r="VBB1" s="5"/>
      <c r="VBC1" s="5"/>
      <c r="VBE1" s="5"/>
      <c r="VBF1" s="5"/>
      <c r="VBG1" s="5"/>
      <c r="VBI1" s="5"/>
      <c r="VBJ1" s="5"/>
      <c r="VBK1" s="5"/>
      <c r="VBM1" s="5"/>
      <c r="VBN1" s="5"/>
      <c r="VBO1" s="5"/>
      <c r="VBQ1" s="5"/>
      <c r="VBR1" s="5"/>
      <c r="VBS1" s="5"/>
      <c r="VBU1" s="5"/>
      <c r="VBV1" s="5"/>
      <c r="VBW1" s="5"/>
      <c r="VBY1" s="5"/>
      <c r="VBZ1" s="5"/>
      <c r="VCA1" s="5"/>
      <c r="VCC1" s="5"/>
      <c r="VCD1" s="5"/>
      <c r="VCE1" s="5"/>
      <c r="VCG1" s="5"/>
      <c r="VCH1" s="5"/>
      <c r="VCI1" s="5"/>
      <c r="VCK1" s="5"/>
      <c r="VCL1" s="5"/>
      <c r="VCM1" s="5"/>
      <c r="VCO1" s="5"/>
      <c r="VCP1" s="5"/>
      <c r="VCQ1" s="5"/>
      <c r="VCS1" s="5"/>
      <c r="VCT1" s="5"/>
      <c r="VCU1" s="5"/>
      <c r="VCW1" s="5"/>
      <c r="VCX1" s="5"/>
      <c r="VCY1" s="5"/>
      <c r="VDA1" s="5"/>
      <c r="VDB1" s="5"/>
      <c r="VDC1" s="5"/>
      <c r="VDE1" s="5"/>
      <c r="VDF1" s="5"/>
      <c r="VDG1" s="5"/>
      <c r="VDI1" s="5"/>
      <c r="VDJ1" s="5"/>
      <c r="VDK1" s="5"/>
      <c r="VDM1" s="5"/>
      <c r="VDN1" s="5"/>
      <c r="VDO1" s="5"/>
      <c r="VDQ1" s="5"/>
      <c r="VDR1" s="5"/>
      <c r="VDS1" s="5"/>
      <c r="VDU1" s="5"/>
      <c r="VDV1" s="5"/>
      <c r="VDW1" s="5"/>
      <c r="VDY1" s="5"/>
      <c r="VDZ1" s="5"/>
      <c r="VEA1" s="5"/>
      <c r="VEC1" s="5"/>
      <c r="VED1" s="5"/>
      <c r="VEE1" s="5"/>
      <c r="VEG1" s="5"/>
      <c r="VEH1" s="5"/>
      <c r="VEI1" s="5"/>
      <c r="VEK1" s="5"/>
      <c r="VEL1" s="5"/>
      <c r="VEM1" s="5"/>
      <c r="VEO1" s="5"/>
      <c r="VEP1" s="5"/>
      <c r="VEQ1" s="5"/>
      <c r="VES1" s="5"/>
      <c r="VET1" s="5"/>
      <c r="VEU1" s="5"/>
      <c r="VEW1" s="5"/>
      <c r="VEX1" s="5"/>
      <c r="VEY1" s="5"/>
      <c r="VFA1" s="5"/>
      <c r="VFB1" s="5"/>
      <c r="VFC1" s="5"/>
      <c r="VFE1" s="5"/>
      <c r="VFF1" s="5"/>
      <c r="VFG1" s="5"/>
      <c r="VFI1" s="5"/>
      <c r="VFJ1" s="5"/>
      <c r="VFK1" s="5"/>
      <c r="VFM1" s="5"/>
      <c r="VFN1" s="5"/>
      <c r="VFO1" s="5"/>
      <c r="VFQ1" s="5"/>
      <c r="VFR1" s="5"/>
      <c r="VFS1" s="5"/>
      <c r="VFU1" s="5"/>
      <c r="VFV1" s="5"/>
      <c r="VFW1" s="5"/>
      <c r="VFY1" s="5"/>
      <c r="VFZ1" s="5"/>
      <c r="VGA1" s="5"/>
      <c r="VGC1" s="5"/>
      <c r="VGD1" s="5"/>
      <c r="VGE1" s="5"/>
      <c r="VGG1" s="5"/>
      <c r="VGH1" s="5"/>
      <c r="VGI1" s="5"/>
      <c r="VGK1" s="5"/>
      <c r="VGL1" s="5"/>
      <c r="VGM1" s="5"/>
      <c r="VGO1" s="5"/>
      <c r="VGP1" s="5"/>
      <c r="VGQ1" s="5"/>
      <c r="VGS1" s="5"/>
      <c r="VGT1" s="5"/>
      <c r="VGU1" s="5"/>
      <c r="VGW1" s="5"/>
      <c r="VGX1" s="5"/>
      <c r="VGY1" s="5"/>
      <c r="VHA1" s="5"/>
      <c r="VHB1" s="5"/>
      <c r="VHC1" s="5"/>
      <c r="VHE1" s="5"/>
      <c r="VHF1" s="5"/>
      <c r="VHG1" s="5"/>
      <c r="VHI1" s="5"/>
      <c r="VHJ1" s="5"/>
      <c r="VHK1" s="5"/>
      <c r="VHM1" s="5"/>
      <c r="VHN1" s="5"/>
      <c r="VHO1" s="5"/>
      <c r="VHQ1" s="5"/>
      <c r="VHR1" s="5"/>
      <c r="VHS1" s="5"/>
      <c r="VHU1" s="5"/>
      <c r="VHV1" s="5"/>
      <c r="VHW1" s="5"/>
      <c r="VHY1" s="5"/>
      <c r="VHZ1" s="5"/>
      <c r="VIA1" s="5"/>
      <c r="VIC1" s="5"/>
      <c r="VID1" s="5"/>
      <c r="VIE1" s="5"/>
      <c r="VIG1" s="5"/>
      <c r="VIH1" s="5"/>
      <c r="VII1" s="5"/>
      <c r="VIK1" s="5"/>
      <c r="VIL1" s="5"/>
      <c r="VIM1" s="5"/>
      <c r="VIO1" s="5"/>
      <c r="VIP1" s="5"/>
      <c r="VIQ1" s="5"/>
      <c r="VIS1" s="5"/>
      <c r="VIT1" s="5"/>
      <c r="VIU1" s="5"/>
      <c r="VIW1" s="5"/>
      <c r="VIX1" s="5"/>
      <c r="VIY1" s="5"/>
      <c r="VJA1" s="5"/>
      <c r="VJB1" s="5"/>
      <c r="VJC1" s="5"/>
      <c r="VJE1" s="5"/>
      <c r="VJF1" s="5"/>
      <c r="VJG1" s="5"/>
      <c r="VJI1" s="5"/>
      <c r="VJJ1" s="5"/>
      <c r="VJK1" s="5"/>
      <c r="VJM1" s="5"/>
      <c r="VJN1" s="5"/>
      <c r="VJO1" s="5"/>
      <c r="VJQ1" s="5"/>
      <c r="VJR1" s="5"/>
      <c r="VJS1" s="5"/>
      <c r="VJU1" s="5"/>
      <c r="VJV1" s="5"/>
      <c r="VJW1" s="5"/>
      <c r="VJY1" s="5"/>
      <c r="VJZ1" s="5"/>
      <c r="VKA1" s="5"/>
      <c r="VKC1" s="5"/>
      <c r="VKD1" s="5"/>
      <c r="VKE1" s="5"/>
      <c r="VKG1" s="5"/>
      <c r="VKH1" s="5"/>
      <c r="VKI1" s="5"/>
      <c r="VKK1" s="5"/>
      <c r="VKL1" s="5"/>
      <c r="VKM1" s="5"/>
      <c r="VKO1" s="5"/>
      <c r="VKP1" s="5"/>
      <c r="VKQ1" s="5"/>
      <c r="VKS1" s="5"/>
      <c r="VKT1" s="5"/>
      <c r="VKU1" s="5"/>
      <c r="VKW1" s="5"/>
      <c r="VKX1" s="5"/>
      <c r="VKY1" s="5"/>
      <c r="VLA1" s="5"/>
      <c r="VLB1" s="5"/>
      <c r="VLC1" s="5"/>
      <c r="VLE1" s="5"/>
      <c r="VLF1" s="5"/>
      <c r="VLG1" s="5"/>
      <c r="VLI1" s="5"/>
      <c r="VLJ1" s="5"/>
      <c r="VLK1" s="5"/>
      <c r="VLM1" s="5"/>
      <c r="VLN1" s="5"/>
      <c r="VLO1" s="5"/>
      <c r="VLQ1" s="5"/>
      <c r="VLR1" s="5"/>
      <c r="VLS1" s="5"/>
      <c r="VLU1" s="5"/>
      <c r="VLV1" s="5"/>
      <c r="VLW1" s="5"/>
      <c r="VLY1" s="5"/>
      <c r="VLZ1" s="5"/>
      <c r="VMA1" s="5"/>
      <c r="VMC1" s="5"/>
      <c r="VMD1" s="5"/>
      <c r="VME1" s="5"/>
      <c r="VMG1" s="5"/>
      <c r="VMH1" s="5"/>
      <c r="VMI1" s="5"/>
      <c r="VMK1" s="5"/>
      <c r="VML1" s="5"/>
      <c r="VMM1" s="5"/>
      <c r="VMO1" s="5"/>
      <c r="VMP1" s="5"/>
      <c r="VMQ1" s="5"/>
      <c r="VMS1" s="5"/>
      <c r="VMT1" s="5"/>
      <c r="VMU1" s="5"/>
      <c r="VMW1" s="5"/>
      <c r="VMX1" s="5"/>
      <c r="VMY1" s="5"/>
      <c r="VNA1" s="5"/>
      <c r="VNB1" s="5"/>
      <c r="VNC1" s="5"/>
      <c r="VNE1" s="5"/>
      <c r="VNF1" s="5"/>
      <c r="VNG1" s="5"/>
      <c r="VNI1" s="5"/>
      <c r="VNJ1" s="5"/>
      <c r="VNK1" s="5"/>
      <c r="VNM1" s="5"/>
      <c r="VNN1" s="5"/>
      <c r="VNO1" s="5"/>
      <c r="VNQ1" s="5"/>
      <c r="VNR1" s="5"/>
      <c r="VNS1" s="5"/>
      <c r="VNU1" s="5"/>
      <c r="VNV1" s="5"/>
      <c r="VNW1" s="5"/>
      <c r="VNY1" s="5"/>
      <c r="VNZ1" s="5"/>
      <c r="VOA1" s="5"/>
      <c r="VOC1" s="5"/>
      <c r="VOD1" s="5"/>
      <c r="VOE1" s="5"/>
      <c r="VOG1" s="5"/>
      <c r="VOH1" s="5"/>
      <c r="VOI1" s="5"/>
      <c r="VOK1" s="5"/>
      <c r="VOL1" s="5"/>
      <c r="VOM1" s="5"/>
      <c r="VOO1" s="5"/>
      <c r="VOP1" s="5"/>
      <c r="VOQ1" s="5"/>
      <c r="VOS1" s="5"/>
      <c r="VOT1" s="5"/>
      <c r="VOU1" s="5"/>
      <c r="VOW1" s="5"/>
      <c r="VOX1" s="5"/>
      <c r="VOY1" s="5"/>
      <c r="VPA1" s="5"/>
      <c r="VPB1" s="5"/>
      <c r="VPC1" s="5"/>
      <c r="VPE1" s="5"/>
      <c r="VPF1" s="5"/>
      <c r="VPG1" s="5"/>
      <c r="VPI1" s="5"/>
      <c r="VPJ1" s="5"/>
      <c r="VPK1" s="5"/>
      <c r="VPM1" s="5"/>
      <c r="VPN1" s="5"/>
      <c r="VPO1" s="5"/>
      <c r="VPQ1" s="5"/>
      <c r="VPR1" s="5"/>
      <c r="VPS1" s="5"/>
      <c r="VPU1" s="5"/>
      <c r="VPV1" s="5"/>
      <c r="VPW1" s="5"/>
      <c r="VPY1" s="5"/>
      <c r="VPZ1" s="5"/>
      <c r="VQA1" s="5"/>
      <c r="VQC1" s="5"/>
      <c r="VQD1" s="5"/>
      <c r="VQE1" s="5"/>
      <c r="VQG1" s="5"/>
      <c r="VQH1" s="5"/>
      <c r="VQI1" s="5"/>
      <c r="VQK1" s="5"/>
      <c r="VQL1" s="5"/>
      <c r="VQM1" s="5"/>
      <c r="VQO1" s="5"/>
      <c r="VQP1" s="5"/>
      <c r="VQQ1" s="5"/>
      <c r="VQS1" s="5"/>
      <c r="VQT1" s="5"/>
      <c r="VQU1" s="5"/>
      <c r="VQW1" s="5"/>
      <c r="VQX1" s="5"/>
      <c r="VQY1" s="5"/>
      <c r="VRA1" s="5"/>
      <c r="VRB1" s="5"/>
      <c r="VRC1" s="5"/>
      <c r="VRE1" s="5"/>
      <c r="VRF1" s="5"/>
      <c r="VRG1" s="5"/>
      <c r="VRI1" s="5"/>
      <c r="VRJ1" s="5"/>
      <c r="VRK1" s="5"/>
      <c r="VRM1" s="5"/>
      <c r="VRN1" s="5"/>
      <c r="VRO1" s="5"/>
      <c r="VRQ1" s="5"/>
      <c r="VRR1" s="5"/>
      <c r="VRS1" s="5"/>
      <c r="VRU1" s="5"/>
      <c r="VRV1" s="5"/>
      <c r="VRW1" s="5"/>
      <c r="VRY1" s="5"/>
      <c r="VRZ1" s="5"/>
      <c r="VSA1" s="5"/>
      <c r="VSC1" s="5"/>
      <c r="VSD1" s="5"/>
      <c r="VSE1" s="5"/>
      <c r="VSG1" s="5"/>
      <c r="VSH1" s="5"/>
      <c r="VSI1" s="5"/>
      <c r="VSK1" s="5"/>
      <c r="VSL1" s="5"/>
      <c r="VSM1" s="5"/>
      <c r="VSO1" s="5"/>
      <c r="VSP1" s="5"/>
      <c r="VSQ1" s="5"/>
      <c r="VSS1" s="5"/>
      <c r="VST1" s="5"/>
      <c r="VSU1" s="5"/>
      <c r="VSW1" s="5"/>
      <c r="VSX1" s="5"/>
      <c r="VSY1" s="5"/>
      <c r="VTA1" s="5"/>
      <c r="VTB1" s="5"/>
      <c r="VTC1" s="5"/>
      <c r="VTE1" s="5"/>
      <c r="VTF1" s="5"/>
      <c r="VTG1" s="5"/>
      <c r="VTI1" s="5"/>
      <c r="VTJ1" s="5"/>
      <c r="VTK1" s="5"/>
      <c r="VTM1" s="5"/>
      <c r="VTN1" s="5"/>
      <c r="VTO1" s="5"/>
      <c r="VTQ1" s="5"/>
      <c r="VTR1" s="5"/>
      <c r="VTS1" s="5"/>
      <c r="VTU1" s="5"/>
      <c r="VTV1" s="5"/>
      <c r="VTW1" s="5"/>
      <c r="VTY1" s="5"/>
      <c r="VTZ1" s="5"/>
      <c r="VUA1" s="5"/>
      <c r="VUC1" s="5"/>
      <c r="VUD1" s="5"/>
      <c r="VUE1" s="5"/>
      <c r="VUG1" s="5"/>
      <c r="VUH1" s="5"/>
      <c r="VUI1" s="5"/>
      <c r="VUK1" s="5"/>
      <c r="VUL1" s="5"/>
      <c r="VUM1" s="5"/>
      <c r="VUO1" s="5"/>
      <c r="VUP1" s="5"/>
      <c r="VUQ1" s="5"/>
      <c r="VUS1" s="5"/>
      <c r="VUT1" s="5"/>
      <c r="VUU1" s="5"/>
      <c r="VUW1" s="5"/>
      <c r="VUX1" s="5"/>
      <c r="VUY1" s="5"/>
      <c r="VVA1" s="5"/>
      <c r="VVB1" s="5"/>
      <c r="VVC1" s="5"/>
      <c r="VVE1" s="5"/>
      <c r="VVF1" s="5"/>
      <c r="VVG1" s="5"/>
      <c r="VVI1" s="5"/>
      <c r="VVJ1" s="5"/>
      <c r="VVK1" s="5"/>
      <c r="VVM1" s="5"/>
      <c r="VVN1" s="5"/>
      <c r="VVO1" s="5"/>
      <c r="VVQ1" s="5"/>
      <c r="VVR1" s="5"/>
      <c r="VVS1" s="5"/>
      <c r="VVU1" s="5"/>
      <c r="VVV1" s="5"/>
      <c r="VVW1" s="5"/>
      <c r="VVY1" s="5"/>
      <c r="VVZ1" s="5"/>
      <c r="VWA1" s="5"/>
      <c r="VWC1" s="5"/>
      <c r="VWD1" s="5"/>
      <c r="VWE1" s="5"/>
      <c r="VWG1" s="5"/>
      <c r="VWH1" s="5"/>
      <c r="VWI1" s="5"/>
      <c r="VWK1" s="5"/>
      <c r="VWL1" s="5"/>
      <c r="VWM1" s="5"/>
      <c r="VWO1" s="5"/>
      <c r="VWP1" s="5"/>
      <c r="VWQ1" s="5"/>
      <c r="VWS1" s="5"/>
      <c r="VWT1" s="5"/>
      <c r="VWU1" s="5"/>
      <c r="VWW1" s="5"/>
      <c r="VWX1" s="5"/>
      <c r="VWY1" s="5"/>
      <c r="VXA1" s="5"/>
      <c r="VXB1" s="5"/>
      <c r="VXC1" s="5"/>
      <c r="VXE1" s="5"/>
      <c r="VXF1" s="5"/>
      <c r="VXG1" s="5"/>
      <c r="VXI1" s="5"/>
      <c r="VXJ1" s="5"/>
      <c r="VXK1" s="5"/>
      <c r="VXM1" s="5"/>
      <c r="VXN1" s="5"/>
      <c r="VXO1" s="5"/>
      <c r="VXQ1" s="5"/>
      <c r="VXR1" s="5"/>
      <c r="VXS1" s="5"/>
      <c r="VXU1" s="5"/>
      <c r="VXV1" s="5"/>
      <c r="VXW1" s="5"/>
      <c r="VXY1" s="5"/>
      <c r="VXZ1" s="5"/>
      <c r="VYA1" s="5"/>
      <c r="VYC1" s="5"/>
      <c r="VYD1" s="5"/>
      <c r="VYE1" s="5"/>
      <c r="VYG1" s="5"/>
      <c r="VYH1" s="5"/>
      <c r="VYI1" s="5"/>
      <c r="VYK1" s="5"/>
      <c r="VYL1" s="5"/>
      <c r="VYM1" s="5"/>
      <c r="VYO1" s="5"/>
      <c r="VYP1" s="5"/>
      <c r="VYQ1" s="5"/>
      <c r="VYS1" s="5"/>
      <c r="VYT1" s="5"/>
      <c r="VYU1" s="5"/>
      <c r="VYW1" s="5"/>
      <c r="VYX1" s="5"/>
      <c r="VYY1" s="5"/>
      <c r="VZA1" s="5"/>
      <c r="VZB1" s="5"/>
      <c r="VZC1" s="5"/>
      <c r="VZE1" s="5"/>
      <c r="VZF1" s="5"/>
      <c r="VZG1" s="5"/>
      <c r="VZI1" s="5"/>
      <c r="VZJ1" s="5"/>
      <c r="VZK1" s="5"/>
      <c r="VZM1" s="5"/>
      <c r="VZN1" s="5"/>
      <c r="VZO1" s="5"/>
      <c r="VZQ1" s="5"/>
      <c r="VZR1" s="5"/>
      <c r="VZS1" s="5"/>
      <c r="VZU1" s="5"/>
      <c r="VZV1" s="5"/>
      <c r="VZW1" s="5"/>
      <c r="VZY1" s="5"/>
      <c r="VZZ1" s="5"/>
      <c r="WAA1" s="5"/>
      <c r="WAC1" s="5"/>
      <c r="WAD1" s="5"/>
      <c r="WAE1" s="5"/>
      <c r="WAG1" s="5"/>
      <c r="WAH1" s="5"/>
      <c r="WAI1" s="5"/>
      <c r="WAK1" s="5"/>
      <c r="WAL1" s="5"/>
      <c r="WAM1" s="5"/>
      <c r="WAO1" s="5"/>
      <c r="WAP1" s="5"/>
      <c r="WAQ1" s="5"/>
      <c r="WAS1" s="5"/>
      <c r="WAT1" s="5"/>
      <c r="WAU1" s="5"/>
      <c r="WAW1" s="5"/>
      <c r="WAX1" s="5"/>
      <c r="WAY1" s="5"/>
      <c r="WBA1" s="5"/>
      <c r="WBB1" s="5"/>
      <c r="WBC1" s="5"/>
      <c r="WBE1" s="5"/>
      <c r="WBF1" s="5"/>
      <c r="WBG1" s="5"/>
      <c r="WBI1" s="5"/>
      <c r="WBJ1" s="5"/>
      <c r="WBK1" s="5"/>
      <c r="WBM1" s="5"/>
      <c r="WBN1" s="5"/>
      <c r="WBO1" s="5"/>
      <c r="WBQ1" s="5"/>
      <c r="WBR1" s="5"/>
      <c r="WBS1" s="5"/>
      <c r="WBU1" s="5"/>
      <c r="WBV1" s="5"/>
      <c r="WBW1" s="5"/>
      <c r="WBY1" s="5"/>
      <c r="WBZ1" s="5"/>
      <c r="WCA1" s="5"/>
      <c r="WCC1" s="5"/>
      <c r="WCD1" s="5"/>
      <c r="WCE1" s="5"/>
      <c r="WCG1" s="5"/>
      <c r="WCH1" s="5"/>
      <c r="WCI1" s="5"/>
      <c r="WCK1" s="5"/>
      <c r="WCL1" s="5"/>
      <c r="WCM1" s="5"/>
      <c r="WCO1" s="5"/>
      <c r="WCP1" s="5"/>
      <c r="WCQ1" s="5"/>
      <c r="WCS1" s="5"/>
      <c r="WCT1" s="5"/>
      <c r="WCU1" s="5"/>
      <c r="WCW1" s="5"/>
      <c r="WCX1" s="5"/>
      <c r="WCY1" s="5"/>
      <c r="WDA1" s="5"/>
      <c r="WDB1" s="5"/>
      <c r="WDC1" s="5"/>
      <c r="WDE1" s="5"/>
      <c r="WDF1" s="5"/>
      <c r="WDG1" s="5"/>
      <c r="WDI1" s="5"/>
      <c r="WDJ1" s="5"/>
      <c r="WDK1" s="5"/>
      <c r="WDM1" s="5"/>
      <c r="WDN1" s="5"/>
      <c r="WDO1" s="5"/>
      <c r="WDQ1" s="5"/>
      <c r="WDR1" s="5"/>
      <c r="WDS1" s="5"/>
      <c r="WDU1" s="5"/>
      <c r="WDV1" s="5"/>
      <c r="WDW1" s="5"/>
      <c r="WDY1" s="5"/>
      <c r="WDZ1" s="5"/>
      <c r="WEA1" s="5"/>
      <c r="WEC1" s="5"/>
      <c r="WED1" s="5"/>
      <c r="WEE1" s="5"/>
      <c r="WEG1" s="5"/>
      <c r="WEH1" s="5"/>
      <c r="WEI1" s="5"/>
      <c r="WEK1" s="5"/>
      <c r="WEL1" s="5"/>
      <c r="WEM1" s="5"/>
      <c r="WEO1" s="5"/>
      <c r="WEP1" s="5"/>
      <c r="WEQ1" s="5"/>
      <c r="WES1" s="5"/>
      <c r="WET1" s="5"/>
      <c r="WEU1" s="5"/>
      <c r="WEW1" s="5"/>
      <c r="WEX1" s="5"/>
      <c r="WEY1" s="5"/>
      <c r="WFA1" s="5"/>
      <c r="WFB1" s="5"/>
      <c r="WFC1" s="5"/>
      <c r="WFE1" s="5"/>
      <c r="WFF1" s="5"/>
      <c r="WFG1" s="5"/>
      <c r="WFI1" s="5"/>
      <c r="WFJ1" s="5"/>
      <c r="WFK1" s="5"/>
      <c r="WFM1" s="5"/>
      <c r="WFN1" s="5"/>
      <c r="WFO1" s="5"/>
      <c r="WFQ1" s="5"/>
      <c r="WFR1" s="5"/>
      <c r="WFS1" s="5"/>
      <c r="WFU1" s="5"/>
      <c r="WFV1" s="5"/>
      <c r="WFW1" s="5"/>
      <c r="WFY1" s="5"/>
      <c r="WFZ1" s="5"/>
      <c r="WGA1" s="5"/>
      <c r="WGC1" s="5"/>
      <c r="WGD1" s="5"/>
      <c r="WGE1" s="5"/>
      <c r="WGG1" s="5"/>
      <c r="WGH1" s="5"/>
      <c r="WGI1" s="5"/>
      <c r="WGK1" s="5"/>
      <c r="WGL1" s="5"/>
      <c r="WGM1" s="5"/>
      <c r="WGO1" s="5"/>
      <c r="WGP1" s="5"/>
      <c r="WGQ1" s="5"/>
      <c r="WGS1" s="5"/>
      <c r="WGT1" s="5"/>
      <c r="WGU1" s="5"/>
      <c r="WGW1" s="5"/>
      <c r="WGX1" s="5"/>
      <c r="WGY1" s="5"/>
      <c r="WHA1" s="5"/>
      <c r="WHB1" s="5"/>
      <c r="WHC1" s="5"/>
      <c r="WHE1" s="5"/>
      <c r="WHF1" s="5"/>
      <c r="WHG1" s="5"/>
      <c r="WHI1" s="5"/>
      <c r="WHJ1" s="5"/>
      <c r="WHK1" s="5"/>
      <c r="WHM1" s="5"/>
      <c r="WHN1" s="5"/>
      <c r="WHO1" s="5"/>
      <c r="WHQ1" s="5"/>
      <c r="WHR1" s="5"/>
      <c r="WHS1" s="5"/>
      <c r="WHU1" s="5"/>
      <c r="WHV1" s="5"/>
      <c r="WHW1" s="5"/>
      <c r="WHY1" s="5"/>
      <c r="WHZ1" s="5"/>
      <c r="WIA1" s="5"/>
      <c r="WIC1" s="5"/>
      <c r="WID1" s="5"/>
      <c r="WIE1" s="5"/>
      <c r="WIG1" s="5"/>
      <c r="WIH1" s="5"/>
      <c r="WII1" s="5"/>
      <c r="WIK1" s="5"/>
      <c r="WIL1" s="5"/>
      <c r="WIM1" s="5"/>
      <c r="WIO1" s="5"/>
      <c r="WIP1" s="5"/>
      <c r="WIQ1" s="5"/>
      <c r="WIS1" s="5"/>
      <c r="WIT1" s="5"/>
      <c r="WIU1" s="5"/>
      <c r="WIW1" s="5"/>
      <c r="WIX1" s="5"/>
      <c r="WIY1" s="5"/>
      <c r="WJA1" s="5"/>
      <c r="WJB1" s="5"/>
      <c r="WJC1" s="5"/>
      <c r="WJE1" s="5"/>
      <c r="WJF1" s="5"/>
      <c r="WJG1" s="5"/>
      <c r="WJI1" s="5"/>
      <c r="WJJ1" s="5"/>
      <c r="WJK1" s="5"/>
      <c r="WJM1" s="5"/>
      <c r="WJN1" s="5"/>
      <c r="WJO1" s="5"/>
      <c r="WJQ1" s="5"/>
      <c r="WJR1" s="5"/>
      <c r="WJS1" s="5"/>
      <c r="WJU1" s="5"/>
      <c r="WJV1" s="5"/>
      <c r="WJW1" s="5"/>
      <c r="WJY1" s="5"/>
      <c r="WJZ1" s="5"/>
      <c r="WKA1" s="5"/>
      <c r="WKC1" s="5"/>
      <c r="WKD1" s="5"/>
      <c r="WKE1" s="5"/>
      <c r="WKG1" s="5"/>
      <c r="WKH1" s="5"/>
      <c r="WKI1" s="5"/>
      <c r="WKK1" s="5"/>
      <c r="WKL1" s="5"/>
      <c r="WKM1" s="5"/>
      <c r="WKO1" s="5"/>
      <c r="WKP1" s="5"/>
      <c r="WKQ1" s="5"/>
      <c r="WKS1" s="5"/>
      <c r="WKT1" s="5"/>
      <c r="WKU1" s="5"/>
      <c r="WKW1" s="5"/>
      <c r="WKX1" s="5"/>
      <c r="WKY1" s="5"/>
      <c r="WLA1" s="5"/>
      <c r="WLB1" s="5"/>
      <c r="WLC1" s="5"/>
      <c r="WLE1" s="5"/>
      <c r="WLF1" s="5"/>
      <c r="WLG1" s="5"/>
      <c r="WLI1" s="5"/>
      <c r="WLJ1" s="5"/>
      <c r="WLK1" s="5"/>
      <c r="WLM1" s="5"/>
      <c r="WLN1" s="5"/>
      <c r="WLO1" s="5"/>
      <c r="WLQ1" s="5"/>
      <c r="WLR1" s="5"/>
      <c r="WLS1" s="5"/>
      <c r="WLU1" s="5"/>
      <c r="WLV1" s="5"/>
      <c r="WLW1" s="5"/>
      <c r="WLY1" s="5"/>
      <c r="WLZ1" s="5"/>
      <c r="WMA1" s="5"/>
      <c r="WMC1" s="5"/>
      <c r="WMD1" s="5"/>
      <c r="WME1" s="5"/>
      <c r="WMG1" s="5"/>
      <c r="WMH1" s="5"/>
      <c r="WMI1" s="5"/>
      <c r="WMK1" s="5"/>
      <c r="WML1" s="5"/>
      <c r="WMM1" s="5"/>
      <c r="WMO1" s="5"/>
      <c r="WMP1" s="5"/>
      <c r="WMQ1" s="5"/>
      <c r="WMS1" s="5"/>
      <c r="WMT1" s="5"/>
      <c r="WMU1" s="5"/>
      <c r="WMW1" s="5"/>
      <c r="WMX1" s="5"/>
      <c r="WMY1" s="5"/>
      <c r="WNA1" s="5"/>
      <c r="WNB1" s="5"/>
      <c r="WNC1" s="5"/>
      <c r="WNE1" s="5"/>
      <c r="WNF1" s="5"/>
      <c r="WNG1" s="5"/>
      <c r="WNI1" s="5"/>
      <c r="WNJ1" s="5"/>
      <c r="WNK1" s="5"/>
      <c r="WNM1" s="5"/>
      <c r="WNN1" s="5"/>
      <c r="WNO1" s="5"/>
      <c r="WNQ1" s="5"/>
      <c r="WNR1" s="5"/>
      <c r="WNS1" s="5"/>
      <c r="WNU1" s="5"/>
      <c r="WNV1" s="5"/>
      <c r="WNW1" s="5"/>
      <c r="WNY1" s="5"/>
      <c r="WNZ1" s="5"/>
      <c r="WOA1" s="5"/>
      <c r="WOC1" s="5"/>
      <c r="WOD1" s="5"/>
      <c r="WOE1" s="5"/>
      <c r="WOG1" s="5"/>
      <c r="WOH1" s="5"/>
      <c r="WOI1" s="5"/>
      <c r="WOK1" s="5"/>
      <c r="WOL1" s="5"/>
      <c r="WOM1" s="5"/>
      <c r="WOO1" s="5"/>
      <c r="WOP1" s="5"/>
      <c r="WOQ1" s="5"/>
      <c r="WOS1" s="5"/>
      <c r="WOT1" s="5"/>
      <c r="WOU1" s="5"/>
      <c r="WOW1" s="5"/>
      <c r="WOX1" s="5"/>
      <c r="WOY1" s="5"/>
      <c r="WPA1" s="5"/>
      <c r="WPB1" s="5"/>
      <c r="WPC1" s="5"/>
      <c r="WPE1" s="5"/>
      <c r="WPF1" s="5"/>
      <c r="WPG1" s="5"/>
      <c r="WPI1" s="5"/>
      <c r="WPJ1" s="5"/>
      <c r="WPK1" s="5"/>
      <c r="WPM1" s="5"/>
      <c r="WPN1" s="5"/>
      <c r="WPO1" s="5"/>
      <c r="WPQ1" s="5"/>
      <c r="WPR1" s="5"/>
      <c r="WPS1" s="5"/>
      <c r="WPU1" s="5"/>
      <c r="WPV1" s="5"/>
      <c r="WPW1" s="5"/>
      <c r="WPY1" s="5"/>
      <c r="WPZ1" s="5"/>
      <c r="WQA1" s="5"/>
      <c r="WQC1" s="5"/>
      <c r="WQD1" s="5"/>
      <c r="WQE1" s="5"/>
      <c r="WQG1" s="5"/>
      <c r="WQH1" s="5"/>
      <c r="WQI1" s="5"/>
      <c r="WQK1" s="5"/>
      <c r="WQL1" s="5"/>
      <c r="WQM1" s="5"/>
      <c r="WQO1" s="5"/>
      <c r="WQP1" s="5"/>
      <c r="WQQ1" s="5"/>
      <c r="WQS1" s="5"/>
      <c r="WQT1" s="5"/>
      <c r="WQU1" s="5"/>
      <c r="WQW1" s="5"/>
      <c r="WQX1" s="5"/>
      <c r="WQY1" s="5"/>
      <c r="WRA1" s="5"/>
      <c r="WRB1" s="5"/>
      <c r="WRC1" s="5"/>
      <c r="WRE1" s="5"/>
      <c r="WRF1" s="5"/>
      <c r="WRG1" s="5"/>
      <c r="WRI1" s="5"/>
      <c r="WRJ1" s="5"/>
      <c r="WRK1" s="5"/>
      <c r="WRM1" s="5"/>
      <c r="WRN1" s="5"/>
      <c r="WRO1" s="5"/>
      <c r="WRQ1" s="5"/>
      <c r="WRR1" s="5"/>
      <c r="WRS1" s="5"/>
      <c r="WRU1" s="5"/>
      <c r="WRV1" s="5"/>
      <c r="WRW1" s="5"/>
      <c r="WRY1" s="5"/>
      <c r="WRZ1" s="5"/>
      <c r="WSA1" s="5"/>
      <c r="WSC1" s="5"/>
      <c r="WSD1" s="5"/>
      <c r="WSE1" s="5"/>
      <c r="WSG1" s="5"/>
      <c r="WSH1" s="5"/>
      <c r="WSI1" s="5"/>
      <c r="WSK1" s="5"/>
      <c r="WSL1" s="5"/>
      <c r="WSM1" s="5"/>
      <c r="WSO1" s="5"/>
      <c r="WSP1" s="5"/>
      <c r="WSQ1" s="5"/>
      <c r="WSS1" s="5"/>
      <c r="WST1" s="5"/>
      <c r="WSU1" s="5"/>
      <c r="WSW1" s="5"/>
      <c r="WSX1" s="5"/>
      <c r="WSY1" s="5"/>
      <c r="WTA1" s="5"/>
      <c r="WTB1" s="5"/>
      <c r="WTC1" s="5"/>
      <c r="WTE1" s="5"/>
      <c r="WTF1" s="5"/>
      <c r="WTG1" s="5"/>
      <c r="WTI1" s="5"/>
      <c r="WTJ1" s="5"/>
      <c r="WTK1" s="5"/>
      <c r="WTM1" s="5"/>
      <c r="WTN1" s="5"/>
      <c r="WTO1" s="5"/>
      <c r="WTQ1" s="5"/>
      <c r="WTR1" s="5"/>
      <c r="WTS1" s="5"/>
      <c r="WTU1" s="5"/>
      <c r="WTV1" s="5"/>
      <c r="WTW1" s="5"/>
      <c r="WTY1" s="5"/>
      <c r="WTZ1" s="5"/>
      <c r="WUA1" s="5"/>
      <c r="WUC1" s="5"/>
      <c r="WUD1" s="5"/>
      <c r="WUE1" s="5"/>
      <c r="WUG1" s="5"/>
      <c r="WUH1" s="5"/>
      <c r="WUI1" s="5"/>
      <c r="WUK1" s="5"/>
      <c r="WUL1" s="5"/>
      <c r="WUM1" s="5"/>
      <c r="WUO1" s="5"/>
      <c r="WUP1" s="5"/>
      <c r="WUQ1" s="5"/>
      <c r="WUS1" s="5"/>
      <c r="WUT1" s="5"/>
      <c r="WUU1" s="5"/>
      <c r="WUW1" s="5"/>
      <c r="WUX1" s="5"/>
      <c r="WUY1" s="5"/>
      <c r="WVA1" s="5"/>
      <c r="WVB1" s="5"/>
      <c r="WVC1" s="5"/>
      <c r="WVE1" s="5"/>
      <c r="WVF1" s="5"/>
      <c r="WVG1" s="5"/>
      <c r="WVI1" s="5"/>
      <c r="WVJ1" s="5"/>
      <c r="WVK1" s="5"/>
      <c r="WVM1" s="5"/>
      <c r="WVN1" s="5"/>
      <c r="WVO1" s="5"/>
      <c r="WVQ1" s="5"/>
      <c r="WVR1" s="5"/>
      <c r="WVS1" s="5"/>
      <c r="WVU1" s="5"/>
      <c r="WVV1" s="5"/>
      <c r="WVW1" s="5"/>
      <c r="WVY1" s="5"/>
      <c r="WVZ1" s="5"/>
      <c r="WWA1" s="5"/>
      <c r="WWC1" s="5"/>
      <c r="WWD1" s="5"/>
      <c r="WWE1" s="5"/>
      <c r="WWG1" s="5"/>
      <c r="WWH1" s="5"/>
      <c r="WWI1" s="5"/>
      <c r="WWK1" s="5"/>
      <c r="WWL1" s="5"/>
      <c r="WWM1" s="5"/>
      <c r="WWO1" s="5"/>
      <c r="WWP1" s="5"/>
      <c r="WWQ1" s="5"/>
      <c r="WWS1" s="5"/>
      <c r="WWT1" s="5"/>
      <c r="WWU1" s="5"/>
      <c r="WWW1" s="5"/>
      <c r="WWX1" s="5"/>
      <c r="WWY1" s="5"/>
      <c r="WXA1" s="5"/>
      <c r="WXB1" s="5"/>
      <c r="WXC1" s="5"/>
      <c r="WXE1" s="5"/>
      <c r="WXF1" s="5"/>
      <c r="WXG1" s="5"/>
      <c r="WXI1" s="5"/>
      <c r="WXJ1" s="5"/>
      <c r="WXK1" s="5"/>
      <c r="WXM1" s="5"/>
      <c r="WXN1" s="5"/>
      <c r="WXO1" s="5"/>
      <c r="WXQ1" s="5"/>
      <c r="WXR1" s="5"/>
      <c r="WXS1" s="5"/>
      <c r="WXU1" s="5"/>
      <c r="WXV1" s="5"/>
      <c r="WXW1" s="5"/>
      <c r="WXY1" s="5"/>
      <c r="WXZ1" s="5"/>
      <c r="WYA1" s="5"/>
      <c r="WYC1" s="5"/>
      <c r="WYD1" s="5"/>
      <c r="WYE1" s="5"/>
      <c r="WYG1" s="5"/>
      <c r="WYH1" s="5"/>
      <c r="WYI1" s="5"/>
      <c r="WYK1" s="5"/>
      <c r="WYL1" s="5"/>
      <c r="WYM1" s="5"/>
      <c r="WYO1" s="5"/>
      <c r="WYP1" s="5"/>
      <c r="WYQ1" s="5"/>
      <c r="WYS1" s="5"/>
      <c r="WYT1" s="5"/>
      <c r="WYU1" s="5"/>
      <c r="WYW1" s="5"/>
      <c r="WYX1" s="5"/>
      <c r="WYY1" s="5"/>
      <c r="WZA1" s="5"/>
      <c r="WZB1" s="5"/>
      <c r="WZC1" s="5"/>
      <c r="WZE1" s="5"/>
      <c r="WZF1" s="5"/>
      <c r="WZG1" s="5"/>
      <c r="WZI1" s="5"/>
      <c r="WZJ1" s="5"/>
      <c r="WZK1" s="5"/>
      <c r="WZM1" s="5"/>
      <c r="WZN1" s="5"/>
      <c r="WZO1" s="5"/>
      <c r="WZQ1" s="5"/>
      <c r="WZR1" s="5"/>
      <c r="WZS1" s="5"/>
      <c r="WZU1" s="5"/>
      <c r="WZV1" s="5"/>
      <c r="WZW1" s="5"/>
      <c r="WZY1" s="5"/>
      <c r="WZZ1" s="5"/>
      <c r="XAA1" s="5"/>
      <c r="XAC1" s="5"/>
      <c r="XAD1" s="5"/>
      <c r="XAE1" s="5"/>
      <c r="XAG1" s="5"/>
      <c r="XAH1" s="5"/>
      <c r="XAI1" s="5"/>
      <c r="XAK1" s="5"/>
      <c r="XAL1" s="5"/>
      <c r="XAM1" s="5"/>
      <c r="XAO1" s="5"/>
      <c r="XAP1" s="5"/>
      <c r="XAQ1" s="5"/>
      <c r="XAS1" s="5"/>
      <c r="XAT1" s="5"/>
      <c r="XAU1" s="5"/>
      <c r="XAW1" s="5"/>
      <c r="XAX1" s="5"/>
      <c r="XAY1" s="5"/>
      <c r="XBA1" s="5"/>
      <c r="XBB1" s="5"/>
      <c r="XBC1" s="5"/>
      <c r="XBE1" s="5"/>
      <c r="XBF1" s="5"/>
      <c r="XBG1" s="5"/>
      <c r="XBI1" s="5"/>
      <c r="XBJ1" s="5"/>
      <c r="XBK1" s="5"/>
      <c r="XBM1" s="5"/>
      <c r="XBN1" s="5"/>
      <c r="XBO1" s="5"/>
      <c r="XBQ1" s="5"/>
      <c r="XBR1" s="5"/>
      <c r="XBS1" s="5"/>
      <c r="XBU1" s="5"/>
      <c r="XBV1" s="5"/>
      <c r="XBW1" s="5"/>
      <c r="XBY1" s="5"/>
      <c r="XBZ1" s="5"/>
      <c r="XCA1" s="5"/>
      <c r="XCC1" s="5"/>
      <c r="XCD1" s="5"/>
      <c r="XCE1" s="5"/>
      <c r="XCG1" s="5"/>
      <c r="XCH1" s="5"/>
      <c r="XCI1" s="5"/>
      <c r="XCK1" s="5"/>
      <c r="XCL1" s="5"/>
      <c r="XCM1" s="5"/>
      <c r="XCO1" s="5"/>
      <c r="XCP1" s="5"/>
      <c r="XCQ1" s="5"/>
      <c r="XCS1" s="5"/>
      <c r="XCT1" s="5"/>
      <c r="XCU1" s="5"/>
      <c r="XCW1" s="5"/>
      <c r="XCX1" s="5"/>
      <c r="XCY1" s="5"/>
      <c r="XDA1" s="5"/>
      <c r="XDB1" s="5"/>
      <c r="XDC1" s="5"/>
      <c r="XDE1" s="5"/>
      <c r="XDF1" s="5"/>
      <c r="XDG1" s="5"/>
      <c r="XDI1" s="5"/>
      <c r="XDJ1" s="5"/>
      <c r="XDK1" s="5"/>
      <c r="XDM1" s="5"/>
      <c r="XDN1" s="5"/>
      <c r="XDO1" s="5"/>
      <c r="XDQ1" s="5"/>
      <c r="XDR1" s="5"/>
      <c r="XDS1" s="5"/>
      <c r="XDU1" s="5"/>
      <c r="XDV1" s="5"/>
      <c r="XDW1" s="5"/>
      <c r="XDY1" s="5"/>
      <c r="XDZ1" s="5"/>
      <c r="XEA1" s="5"/>
      <c r="XEC1" s="5"/>
      <c r="XED1" s="5"/>
      <c r="XEE1" s="5"/>
      <c r="XEG1" s="5"/>
      <c r="XEH1" s="5"/>
      <c r="XEI1" s="5"/>
      <c r="XEK1" s="5"/>
      <c r="XEL1" s="5"/>
      <c r="XEM1" s="5"/>
      <c r="XEO1" s="5"/>
      <c r="XEP1" s="5"/>
      <c r="XEQ1" s="5"/>
      <c r="XES1" s="5"/>
      <c r="XET1" s="5"/>
      <c r="XEU1" s="5"/>
      <c r="XEW1" s="5"/>
      <c r="XEX1" s="5"/>
      <c r="XEY1" s="5"/>
      <c r="XFA1" s="5"/>
      <c r="XFB1" s="5"/>
      <c r="XFC1" s="5"/>
    </row>
    <row r="2" spans="1:1023 1025:2047 2049:3071 3073:4095 4097:5119 5121:6143 6145:7167 7169:8191 8193:9215 9217:10239 10241:11263 11265:12287 12289:13311 13313:14335 14337:15359 15361:16383" x14ac:dyDescent="0.25">
      <c r="A2" s="1" t="s">
        <v>946</v>
      </c>
      <c r="F2" s="17"/>
    </row>
    <row r="3" spans="1:1023 1025:2047 2049:3071 3073:4095 4097:5119 5121:6143 6145:7167 7169:8191 8193:9215 9217:10239 10241:11263 11265:12287 12289:13311 13313:14335 14337:15359 15361:16383" x14ac:dyDescent="0.25">
      <c r="A3" s="1" t="s">
        <v>158</v>
      </c>
      <c r="F3" s="17"/>
    </row>
    <row r="4" spans="1:1023 1025:2047 2049:3071 3073:4095 4097:5119 5121:6143 6145:7167 7169:8191 8193:9215 9217:10239 10241:11263 11265:12287 12289:13311 13313:14335 14337:15359 15361:16383" x14ac:dyDescent="0.25">
      <c r="A4" s="1" t="s">
        <v>79</v>
      </c>
      <c r="B4" s="1" t="s">
        <v>1</v>
      </c>
      <c r="C4" s="1" t="s">
        <v>1031</v>
      </c>
      <c r="F4" s="17"/>
    </row>
    <row r="5" spans="1:1023 1025:2047 2049:3071 3073:4095 4097:5119 5121:6143 6145:7167 7169:8191 8193:9215 9217:10239 10241:11263 11265:12287 12289:13311 13313:14335 14337:15359 15361:16383" x14ac:dyDescent="0.25">
      <c r="A5" s="1" t="s">
        <v>78</v>
      </c>
      <c r="B5" s="1" t="s">
        <v>1</v>
      </c>
      <c r="C5" s="1" t="s">
        <v>77</v>
      </c>
      <c r="F5" s="17"/>
    </row>
    <row r="6" spans="1:1023 1025:2047 2049:3071 3073:4095 4097:5119 5121:6143 6145:7167 7169:8191 8193:9215 9217:10239 10241:11263 11265:12287 12289:13311 13313:14335 14337:15359 15361:16383" x14ac:dyDescent="0.25">
      <c r="A6" s="1" t="s">
        <v>76</v>
      </c>
      <c r="B6" s="1" t="s">
        <v>1</v>
      </c>
      <c r="C6" s="9">
        <f>COUNTA(A:A)-6</f>
        <v>158</v>
      </c>
      <c r="F6" s="17"/>
    </row>
    <row r="7" spans="1:1023 1025:2047 2049:3071 3073:4095 4097:5119 5121:6143 6145:7167 7169:8191 8193:9215 9217:10239 10241:11263 11265:12287 12289:13311 13313:14335 14337:15359 15361:16383" s="1" customFormat="1" x14ac:dyDescent="0.25">
      <c r="A7" s="1">
        <v>0</v>
      </c>
      <c r="B7" s="1" t="s">
        <v>1</v>
      </c>
      <c r="C7" s="1" t="str">
        <f t="shared" ref="C7:C13" si="0">E7 &amp; F7</f>
        <v>disclaimer</v>
      </c>
      <c r="E7" s="17"/>
      <c r="F7" s="17" t="s">
        <v>75</v>
      </c>
      <c r="G7" s="17"/>
    </row>
    <row r="8" spans="1:1023 1025:2047 2049:3071 3073:4095 4097:5119 5121:6143 6145:7167 7169:8191 8193:9215 9217:10239 10241:11263 11265:12287 12289:13311 13313:14335 14337:15359 15361:16383" s="1" customFormat="1" x14ac:dyDescent="0.25">
      <c r="A8" s="1">
        <v>1</v>
      </c>
      <c r="B8" s="1" t="s">
        <v>1</v>
      </c>
      <c r="C8" s="1" t="str">
        <f t="shared" si="0"/>
        <v>lists</v>
      </c>
      <c r="E8" s="17"/>
      <c r="F8" s="17" t="s">
        <v>74</v>
      </c>
      <c r="G8" s="17"/>
    </row>
    <row r="9" spans="1:1023 1025:2047 2049:3071 3073:4095 4097:5119 5121:6143 6145:7167 7169:8191 8193:9215 9217:10239 10241:11263 11265:12287 12289:13311 13313:14335 14337:15359 15361:16383" s="1" customFormat="1" x14ac:dyDescent="0.25">
      <c r="A9" s="1">
        <v>2</v>
      </c>
      <c r="B9" s="1" t="s">
        <v>1</v>
      </c>
      <c r="C9" s="1" t="str">
        <f t="shared" si="0"/>
        <v>section_header</v>
      </c>
      <c r="E9" s="17"/>
      <c r="F9" s="17" t="s">
        <v>73</v>
      </c>
      <c r="G9" s="17"/>
    </row>
    <row r="10" spans="1:1023 1025:2047 2049:3071 3073:4095 4097:5119 5121:6143 6145:7167 7169:8191 8193:9215 9217:10239 10241:11263 11265:12287 12289:13311 13313:14335 14337:15359 15361:16383" s="1" customFormat="1" x14ac:dyDescent="0.25">
      <c r="A10" s="1">
        <v>3</v>
      </c>
      <c r="B10" s="1" t="s">
        <v>1</v>
      </c>
      <c r="C10" s="1" t="str">
        <f t="shared" si="0"/>
        <v>add_global_flags</v>
      </c>
      <c r="E10" s="17"/>
      <c r="F10" s="17" t="s">
        <v>72</v>
      </c>
      <c r="G10" s="17"/>
    </row>
    <row r="11" spans="1:1023 1025:2047 2049:3071 3073:4095 4097:5119 5121:6143 6145:7167 7169:8191 8193:9215 9217:10239 10241:11263 11265:12287 12289:13311 13313:14335 14337:15359 15361:16383" s="1" customFormat="1" x14ac:dyDescent="0.25">
      <c r="A11" s="1">
        <v>4</v>
      </c>
      <c r="B11" s="1" t="s">
        <v>1</v>
      </c>
      <c r="C11" s="1" t="str">
        <f t="shared" si="0"/>
        <v>add_data_structure_sbsft</v>
      </c>
      <c r="E11" s="17"/>
      <c r="F11" s="17" t="s">
        <v>71</v>
      </c>
      <c r="G11" s="17"/>
    </row>
    <row r="12" spans="1:1023 1025:2047 2049:3071 3073:4095 4097:5119 5121:6143 6145:7167 7169:8191 8193:9215 9217:10239 10241:11263 11265:12287 12289:13311 13313:14335 14337:15359 15361:16383" s="1" customFormat="1" x14ac:dyDescent="0.25">
      <c r="A12" s="1">
        <v>5</v>
      </c>
      <c r="B12" s="1" t="s">
        <v>1</v>
      </c>
      <c r="C12" s="1" t="str">
        <f t="shared" si="0"/>
        <v>section_code</v>
      </c>
      <c r="E12" s="17"/>
      <c r="F12" s="17" t="s">
        <v>70</v>
      </c>
      <c r="G12" s="17"/>
    </row>
    <row r="13" spans="1:1023 1025:2047 2049:3071 3073:4095 4097:5119 5121:6143 6145:7167 7169:8191 8193:9215 9217:10239 10241:11263 11265:12287 12289:13311 13313:14335 14337:15359 15361:16383" s="1" customFormat="1" ht="15.75" x14ac:dyDescent="0.3">
      <c r="A13" s="1">
        <v>6</v>
      </c>
      <c r="B13" s="1" t="s">
        <v>1</v>
      </c>
      <c r="C13" s="14" t="str">
        <f t="shared" si="0"/>
        <v>exec_function_head</v>
      </c>
      <c r="E13" s="17"/>
      <c r="F13" s="18" t="s">
        <v>69</v>
      </c>
      <c r="G13" s="17"/>
    </row>
    <row r="14" spans="1:1023 1025:2047 2049:3071 3073:4095 4097:5119 5121:6143 6145:7167 7169:8191 8193:9215 9217:10239 10241:11263 11265:12287 12289:13311 13313:14335 14337:15359 15361:16383" s="1" customFormat="1" x14ac:dyDescent="0.25">
      <c r="A14" s="1">
        <v>7</v>
      </c>
      <c r="B14" s="1" t="s">
        <v>1</v>
      </c>
      <c r="C14" s="1" t="str">
        <f>E14 &amp; F14</f>
        <v>%{(1100)}%context_save</v>
      </c>
      <c r="E14" s="17" t="str">
        <f>"%{(" &amp; tokens!$E$23 &amp;")}%"</f>
        <v>%{(1100)}%</v>
      </c>
      <c r="F14" s="17" t="s">
        <v>65</v>
      </c>
      <c r="G14" s="17"/>
    </row>
    <row r="15" spans="1:1023 1025:2047 2049:3071 3073:4095 4097:5119 5121:6143 6145:7167 7169:8191 8193:9215 9217:10239 10241:11263 11265:12287 12289:13311 13313:14335 14337:15359 15361:16383" s="1" customFormat="1" x14ac:dyDescent="0.25">
      <c r="A15" s="1">
        <v>8</v>
      </c>
      <c r="B15" s="1" t="s">
        <v>1</v>
      </c>
      <c r="C15" s="1" t="str">
        <f t="shared" ref="C15:C95" si="1">E15 &amp; F15</f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68</v>
      </c>
      <c r="G15" s="17"/>
    </row>
    <row r="16" spans="1:1023 1025:2047 2049:3071 3073:4095 4097:5119 5121:6143 6145:7167 7169:8191 8193:9215 9217:10239 10241:11263 11265:12287 12289:13311 13313:14335 14337:15359 15361:16383" s="1" customFormat="1" x14ac:dyDescent="0.25">
      <c r="A16" s="1">
        <v>9</v>
      </c>
      <c r="B16" s="1" t="s">
        <v>1</v>
      </c>
      <c r="C16" s="1" t="str">
        <f t="shared" si="1"/>
        <v>%{(1100)}%context_save_status_word_wreg</v>
      </c>
      <c r="E16" s="17" t="str">
        <f>"%{(" &amp; tokens!$E$23 &amp;")}%"</f>
        <v>%{(1100)}%</v>
      </c>
      <c r="F16" s="17" t="s">
        <v>67</v>
      </c>
      <c r="G16" s="17"/>
    </row>
    <row r="17" spans="1:7" s="1" customFormat="1" x14ac:dyDescent="0.25">
      <c r="A17" s="1">
        <v>10</v>
      </c>
      <c r="B17" s="1" t="s">
        <v>1</v>
      </c>
      <c r="C17" s="1" t="str">
        <f t="shared" si="1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66</v>
      </c>
      <c r="G17" s="17"/>
    </row>
    <row r="18" spans="1:7" s="1" customFormat="1" x14ac:dyDescent="0.25">
      <c r="A18" s="1">
        <v>11</v>
      </c>
      <c r="B18" s="1" t="s">
        <v>1</v>
      </c>
      <c r="C18" s="1" t="str">
        <f t="shared" si="1"/>
        <v>%{(1100)}%context_save</v>
      </c>
      <c r="E18" s="17" t="str">
        <f>"%{(" &amp; tokens!$E$23 &amp;")}%"</f>
        <v>%{(1100)}%</v>
      </c>
      <c r="F18" s="17" t="s">
        <v>65</v>
      </c>
      <c r="G18" s="17"/>
    </row>
    <row r="19" spans="1:7" s="1" customFormat="1" x14ac:dyDescent="0.25">
      <c r="A19" s="1">
        <v>12</v>
      </c>
      <c r="B19" s="1" t="s">
        <v>1</v>
      </c>
      <c r="C19" s="1" t="str">
        <f t="shared" si="1"/>
        <v>%{(1100)&amp;&amp;(1102)}%context_save_mac_registers</v>
      </c>
      <c r="E19" s="17" t="str">
        <f>"%{(" &amp; tokens!$E$23 &amp;")&amp;&amp;(" &amp; tokens!$E$25 &amp; ")}%"</f>
        <v>%{(1100)&amp;&amp;(1102)}%</v>
      </c>
      <c r="F19" s="17" t="s">
        <v>64</v>
      </c>
      <c r="G19" s="17"/>
    </row>
    <row r="20" spans="1:7" s="1" customFormat="1" x14ac:dyDescent="0.25">
      <c r="A20" s="1">
        <v>13</v>
      </c>
      <c r="B20" s="1" t="s">
        <v>1</v>
      </c>
      <c r="C20" s="1" t="str">
        <f t="shared" si="1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63</v>
      </c>
      <c r="G20" s="17"/>
    </row>
    <row r="21" spans="1:7" s="1" customFormat="1" x14ac:dyDescent="0.25">
      <c r="A21" s="1">
        <v>14</v>
      </c>
      <c r="B21" s="1" t="s">
        <v>1</v>
      </c>
      <c r="C21" s="1" t="str">
        <f t="shared" si="1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62</v>
      </c>
      <c r="G21" s="17"/>
    </row>
    <row r="22" spans="1:7" s="1" customFormat="1" x14ac:dyDescent="0.25">
      <c r="A22" s="1">
        <v>15</v>
      </c>
      <c r="B22" s="1" t="s">
        <v>1</v>
      </c>
      <c r="C22" s="1" t="str">
        <f t="shared" si="1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61</v>
      </c>
      <c r="G22" s="17"/>
    </row>
    <row r="23" spans="1:7" s="1" customFormat="1" x14ac:dyDescent="0.25">
      <c r="A23" s="1">
        <v>16</v>
      </c>
      <c r="B23" s="1" t="s">
        <v>1</v>
      </c>
      <c r="C23" s="1" t="str">
        <f t="shared" si="1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60</v>
      </c>
      <c r="G23" s="17"/>
    </row>
    <row r="24" spans="1:7" s="1" customFormat="1" x14ac:dyDescent="0.25">
      <c r="A24" s="1">
        <v>17</v>
      </c>
      <c r="B24" s="1" t="s">
        <v>1</v>
      </c>
      <c r="C24" s="1" t="str">
        <f t="shared" si="1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59</v>
      </c>
      <c r="G24" s="17"/>
    </row>
    <row r="25" spans="1:7" s="1" customFormat="1" x14ac:dyDescent="0.25">
      <c r="A25" s="1">
        <v>18</v>
      </c>
      <c r="B25" s="1" t="s">
        <v>1</v>
      </c>
      <c r="C25" s="1" t="str">
        <f t="shared" si="1"/>
        <v>load_a_coeff_array_ptr</v>
      </c>
      <c r="E25" s="17"/>
      <c r="F25" s="17" t="s">
        <v>58</v>
      </c>
      <c r="G25" s="17"/>
    </row>
    <row r="26" spans="1:7" s="1" customFormat="1" x14ac:dyDescent="0.25">
      <c r="A26" s="1">
        <v>19</v>
      </c>
      <c r="B26" s="1" t="s">
        <v>1</v>
      </c>
      <c r="C26" s="1" t="str">
        <f t="shared" si="1"/>
        <v>load_control_history_array_ptr</v>
      </c>
      <c r="E26" s="17"/>
      <c r="F26" s="17" t="s">
        <v>32</v>
      </c>
      <c r="G26" s="17"/>
    </row>
    <row r="27" spans="1:7" s="1" customFormat="1" x14ac:dyDescent="0.25">
      <c r="A27" s="1">
        <v>20</v>
      </c>
      <c r="B27" s="1" t="s">
        <v>1</v>
      </c>
      <c r="C27" s="1" t="str">
        <f t="shared" si="1"/>
        <v>comp_mac_start_acca_clear_prefetch</v>
      </c>
      <c r="E27" s="17"/>
      <c r="F27" s="17" t="s">
        <v>57</v>
      </c>
      <c r="G27" s="17"/>
    </row>
    <row r="28" spans="1:7" s="1" customFormat="1" x14ac:dyDescent="0.25">
      <c r="A28" s="1">
        <v>21</v>
      </c>
      <c r="B28" s="1" t="s">
        <v>1</v>
      </c>
      <c r="C28" s="1" t="str">
        <f t="shared" si="1"/>
        <v>comp_mac_loop_a_term_acca</v>
      </c>
      <c r="E28" s="17"/>
      <c r="F28" s="17" t="s">
        <v>56</v>
      </c>
      <c r="G28" s="17"/>
    </row>
    <row r="29" spans="1:7" s="1" customFormat="1" x14ac:dyDescent="0.25">
      <c r="A29" s="1">
        <v>22</v>
      </c>
      <c r="B29" s="1" t="s">
        <v>1</v>
      </c>
      <c r="C29" s="1" t="str">
        <f t="shared" si="1"/>
        <v>comp_mac_end_acca</v>
      </c>
      <c r="E29" s="17"/>
      <c r="F29" s="17" t="s">
        <v>42</v>
      </c>
      <c r="G29" s="17"/>
    </row>
    <row r="30" spans="1:7" s="1" customFormat="1" x14ac:dyDescent="0.25">
      <c r="A30" s="1">
        <v>23</v>
      </c>
      <c r="B30" s="1" t="s">
        <v>1</v>
      </c>
      <c r="C30" s="1" t="str">
        <f t="shared" si="1"/>
        <v>load_error_history_array_ptr</v>
      </c>
      <c r="E30" s="17"/>
      <c r="F30" s="17" t="s">
        <v>55</v>
      </c>
      <c r="G30" s="17"/>
    </row>
    <row r="31" spans="1:7" s="1" customFormat="1" x14ac:dyDescent="0.25">
      <c r="A31" s="1">
        <v>24</v>
      </c>
      <c r="B31" s="1" t="s">
        <v>1</v>
      </c>
      <c r="C31" s="1" t="str">
        <f t="shared" si="1"/>
        <v>comp_error_history_update</v>
      </c>
      <c r="E31" s="17"/>
      <c r="F31" s="17" t="s">
        <v>54</v>
      </c>
      <c r="G31" s="17"/>
    </row>
    <row r="32" spans="1:7" s="1" customFormat="1" x14ac:dyDescent="0.25">
      <c r="A32" s="1">
        <v>25</v>
      </c>
      <c r="B32" s="1" t="s">
        <v>1</v>
      </c>
      <c r="C32" s="1" t="str">
        <f t="shared" si="1"/>
        <v>comp_read_input</v>
      </c>
      <c r="E32" s="17"/>
      <c r="F32" s="17" t="s">
        <v>53</v>
      </c>
      <c r="G32" s="17"/>
    </row>
    <row r="33" spans="1:7" s="1" customFormat="1" x14ac:dyDescent="0.25">
      <c r="A33" s="1">
        <v>26</v>
      </c>
      <c r="B33" s="1" t="s">
        <v>1</v>
      </c>
      <c r="C33" s="1" t="str">
        <f t="shared" si="1"/>
        <v>%{(1400)&amp;&amp;(1401)}%shadow_copy_control_input</v>
      </c>
      <c r="E33" s="17" t="str">
        <f>"%{(" &amp; tokens!$E$44 &amp;")&amp;&amp;(" &amp; tokens!$E$45 &amp; ")}%"</f>
        <v>%{(1400)&amp;&amp;(1401)}%</v>
      </c>
      <c r="F33" s="17" t="s">
        <v>52</v>
      </c>
      <c r="G33" s="17"/>
    </row>
    <row r="34" spans="1:7" s="1" customFormat="1" x14ac:dyDescent="0.25">
      <c r="A34" s="1">
        <v>27</v>
      </c>
      <c r="B34" s="1" t="s">
        <v>1</v>
      </c>
      <c r="C34" s="1" t="str">
        <f t="shared" si="1"/>
        <v>comp_get_error</v>
      </c>
      <c r="E34" s="17"/>
      <c r="F34" s="17" t="s">
        <v>51</v>
      </c>
      <c r="G34" s="17"/>
    </row>
    <row r="35" spans="1:7" s="1" customFormat="1" x14ac:dyDescent="0.25">
      <c r="A35" s="1">
        <v>28</v>
      </c>
      <c r="B35" s="1" t="s">
        <v>1</v>
      </c>
      <c r="C35" s="1" t="str">
        <f t="shared" si="1"/>
        <v>%{(1600)&amp;&amp;(1601)}%comp_zero_input</v>
      </c>
      <c r="E35" s="17" t="str">
        <f>"%{(" &amp; tokens!$E$54 &amp;")&amp;&amp;(" &amp; tokens!$E$55 &amp; ")}%"</f>
        <v>%{(1600)&amp;&amp;(1601)}%</v>
      </c>
      <c r="F35" s="17" t="s">
        <v>50</v>
      </c>
      <c r="G35" s="17"/>
    </row>
    <row r="36" spans="1:7" s="1" customFormat="1" x14ac:dyDescent="0.25">
      <c r="A36" s="1">
        <v>29</v>
      </c>
      <c r="B36" s="1" t="s">
        <v>1</v>
      </c>
      <c r="C36" s="1" t="str">
        <f t="shared" si="1"/>
        <v>%{(1600)&amp;&amp;(1602)}%comp_invert_input</v>
      </c>
      <c r="E36" s="17" t="str">
        <f>"%{(" &amp; tokens!$E$54 &amp;")&amp;&amp;(" &amp; tokens!$E$56 &amp; ")}%"</f>
        <v>%{(1600)&amp;&amp;(1602)}%</v>
      </c>
      <c r="F36" s="17" t="s">
        <v>49</v>
      </c>
      <c r="G36" s="17"/>
    </row>
    <row r="37" spans="1:7" s="1" customFormat="1" x14ac:dyDescent="0.25">
      <c r="A37" s="1">
        <v>30</v>
      </c>
      <c r="B37" s="1" t="s">
        <v>1</v>
      </c>
      <c r="C37" s="1" t="str">
        <f t="shared" si="1"/>
        <v>%{(1200)&amp;&amp;(1205)}%comp_norm_error</v>
      </c>
      <c r="E37" s="17" t="str">
        <f>"%{(" &amp; tokens!$E$31 &amp;")&amp;&amp;(" &amp; tokens!$E$36 &amp; ")}%"</f>
        <v>%{(1200)&amp;&amp;(1205)}%</v>
      </c>
      <c r="F37" s="17" t="s">
        <v>48</v>
      </c>
      <c r="G37" s="17"/>
    </row>
    <row r="38" spans="1:7" s="1" customFormat="1" x14ac:dyDescent="0.25">
      <c r="A38" s="1">
        <v>31</v>
      </c>
      <c r="B38" s="1" t="s">
        <v>1</v>
      </c>
      <c r="C38" s="1" t="str">
        <f t="shared" si="1"/>
        <v>%{(1400)&amp;&amp;(1402)}%shadow_copy_error_input</v>
      </c>
      <c r="E38" s="17" t="str">
        <f>"%{(" &amp; tokens!$E$44 &amp;")&amp;&amp;(" &amp; tokens!$E$46 &amp; ")}%"</f>
        <v>%{(1400)&amp;&amp;(1402)}%</v>
      </c>
      <c r="F38" s="17" t="s">
        <v>47</v>
      </c>
      <c r="G38" s="17"/>
    </row>
    <row r="39" spans="1:7" s="1" customFormat="1" x14ac:dyDescent="0.25">
      <c r="A39" s="1">
        <v>32</v>
      </c>
      <c r="B39" s="1" t="s">
        <v>1</v>
      </c>
      <c r="C39" s="1" t="str">
        <f t="shared" si="1"/>
        <v>load_b_coeff_array_ptr</v>
      </c>
      <c r="E39" s="17"/>
      <c r="F39" s="17" t="s">
        <v>46</v>
      </c>
      <c r="G39" s="17"/>
    </row>
    <row r="40" spans="1:7" s="1" customFormat="1" x14ac:dyDescent="0.25">
      <c r="A40" s="1">
        <v>33</v>
      </c>
      <c r="B40" s="1" t="s">
        <v>1</v>
      </c>
      <c r="C40" s="1" t="str">
        <f t="shared" si="1"/>
        <v>comp_error_add_most_recent_to_history</v>
      </c>
      <c r="E40" s="17"/>
      <c r="F40" s="17" t="s">
        <v>45</v>
      </c>
      <c r="G40" s="17"/>
    </row>
    <row r="41" spans="1:7" s="1" customFormat="1" x14ac:dyDescent="0.25">
      <c r="A41" s="1">
        <v>34</v>
      </c>
      <c r="B41" s="1" t="s">
        <v>1</v>
      </c>
      <c r="C41" s="1" t="str">
        <f t="shared" si="1"/>
        <v>comp_mac_start_acca_resume</v>
      </c>
      <c r="E41" s="17"/>
      <c r="F41" s="17" t="s">
        <v>44</v>
      </c>
      <c r="G41" s="17"/>
    </row>
    <row r="42" spans="1:7" s="1" customFormat="1" x14ac:dyDescent="0.25">
      <c r="A42" s="1">
        <v>35</v>
      </c>
      <c r="B42" s="1" t="s">
        <v>1</v>
      </c>
      <c r="C42" s="1" t="str">
        <f t="shared" si="1"/>
        <v>comp_mac_loop_b_term_acca</v>
      </c>
      <c r="E42" s="17"/>
      <c r="F42" s="17" t="s">
        <v>43</v>
      </c>
      <c r="G42" s="17"/>
    </row>
    <row r="43" spans="1:7" s="1" customFormat="1" x14ac:dyDescent="0.25">
      <c r="A43" s="1">
        <v>36</v>
      </c>
      <c r="B43" s="1" t="s">
        <v>1</v>
      </c>
      <c r="C43" s="1" t="str">
        <f t="shared" si="1"/>
        <v>comp_mac_end_acca</v>
      </c>
      <c r="E43" s="17"/>
      <c r="F43" s="17" t="s">
        <v>42</v>
      </c>
      <c r="G43" s="17"/>
    </row>
    <row r="44" spans="1:7" s="1" customFormat="1" x14ac:dyDescent="0.25">
      <c r="A44" s="1">
        <v>37</v>
      </c>
      <c r="B44" s="1" t="s">
        <v>1</v>
      </c>
      <c r="C44" s="1" t="str">
        <f t="shared" si="1"/>
        <v>comp_backward_norm_acca</v>
      </c>
      <c r="E44" s="17"/>
      <c r="F44" s="17" t="s">
        <v>41</v>
      </c>
      <c r="G44" s="17"/>
    </row>
    <row r="45" spans="1:7" s="1" customFormat="1" x14ac:dyDescent="0.25">
      <c r="A45" s="1">
        <v>38</v>
      </c>
      <c r="B45" s="1" t="s">
        <v>1</v>
      </c>
      <c r="C45" s="1" t="str">
        <f t="shared" si="1"/>
        <v>comp_mac_store_acca</v>
      </c>
      <c r="E45" s="17"/>
      <c r="F45" s="17" t="s">
        <v>40</v>
      </c>
      <c r="G45" s="17"/>
    </row>
    <row r="46" spans="1:7" s="1" customFormat="1" x14ac:dyDescent="0.25">
      <c r="A46" s="1">
        <v>39</v>
      </c>
      <c r="B46" s="1" t="s">
        <v>1</v>
      </c>
      <c r="C46" s="1" t="str">
        <f t="shared" si="1"/>
        <v>%{(1500)}%anti_windup</v>
      </c>
      <c r="E46" s="17" t="str">
        <f>"%{(" &amp; tokens!$E$48 &amp;")}%"</f>
        <v>%{(1500)}%</v>
      </c>
      <c r="F46" s="17" t="s">
        <v>39</v>
      </c>
      <c r="G46" s="17"/>
    </row>
    <row r="47" spans="1:7" s="1" customFormat="1" x14ac:dyDescent="0.25">
      <c r="A47" s="1">
        <v>40</v>
      </c>
      <c r="B47" s="1" t="s">
        <v>1</v>
      </c>
      <c r="C47" s="1" t="str">
        <f t="shared" si="1"/>
        <v>%{(1500)&amp;&amp;(1501)}%anti_windup_max_start</v>
      </c>
      <c r="E47" s="17" t="str">
        <f>"%{(" &amp; tokens!$E$48 &amp;")&amp;&amp;(" &amp; tokens!$E$49 &amp;")}%"</f>
        <v>%{(1500)&amp;&amp;(1501)}%</v>
      </c>
      <c r="F47" s="17" t="s">
        <v>1044</v>
      </c>
      <c r="G47" s="17"/>
    </row>
    <row r="48" spans="1:7" s="1" customFormat="1" x14ac:dyDescent="0.25">
      <c r="A48" s="1">
        <v>41</v>
      </c>
      <c r="B48" s="1" t="s">
        <v>1</v>
      </c>
      <c r="C48" s="1" t="str">
        <f t="shared" si="1"/>
        <v>%{(1500)&amp;&amp;(1501)}%%{(1502)||(1505)}%anti_windup_max_options_start</v>
      </c>
      <c r="E48" s="17" t="str">
        <f>"%{(" &amp; tokens!$E$48 &amp;")&amp;&amp;(" &amp; tokens!$E$49 &amp;")}%%{(" &amp; tokens!$E$50 &amp;")||(" &amp; tokens!$E$53 &amp; ")}%"</f>
        <v>%{(1500)&amp;&amp;(1501)}%%{(1502)||(1505)}%</v>
      </c>
      <c r="F48" s="17" t="s">
        <v>1045</v>
      </c>
      <c r="G48" s="17"/>
    </row>
    <row r="49" spans="1:7" s="1" customFormat="1" x14ac:dyDescent="0.25">
      <c r="A49" s="1">
        <v>42</v>
      </c>
      <c r="B49" s="1" t="s">
        <v>1</v>
      </c>
      <c r="C49" s="1" t="str">
        <f t="shared" si="1"/>
        <v>%{(1500)&amp;&amp;(1501)&amp;&amp;(1502)}%anti_windup_max_clear_status_flag</v>
      </c>
      <c r="E49" s="17" t="str">
        <f>"%{(" &amp; tokens!$E$48 &amp;")&amp;&amp;(" &amp; tokens!$E$49 &amp;")&amp;&amp;(" &amp; tokens!$E$50 &amp;")}%"</f>
        <v>%{(1500)&amp;&amp;(1501)&amp;&amp;(1502)}%</v>
      </c>
      <c r="F49" s="17" t="s">
        <v>1046</v>
      </c>
      <c r="G49" s="17"/>
    </row>
    <row r="50" spans="1:7" s="1" customFormat="1" x14ac:dyDescent="0.25">
      <c r="A50" s="1">
        <v>43</v>
      </c>
      <c r="B50" s="1" t="s">
        <v>1</v>
      </c>
      <c r="C50" s="1" t="str">
        <f t="shared" si="1"/>
        <v>%{(1500)&amp;&amp;(1501)}%%{(1502)||(1505)}%anti_windup_max_options_override_bypass</v>
      </c>
      <c r="E50" s="17" t="str">
        <f>"%{(" &amp; tokens!$E$48 &amp;")&amp;&amp;(" &amp; tokens!$E$49 &amp;")}%%{(" &amp; tokens!$E$50 &amp;")||(" &amp; tokens!$E$53 &amp; ")}%"</f>
        <v>%{(1500)&amp;&amp;(1501)}%%{(1502)||(1505)}%</v>
      </c>
      <c r="F50" s="17" t="s">
        <v>1047</v>
      </c>
      <c r="G50" s="17"/>
    </row>
    <row r="51" spans="1:7" s="1" customFormat="1" x14ac:dyDescent="0.25">
      <c r="A51" s="1">
        <v>44</v>
      </c>
      <c r="B51" s="1" t="s">
        <v>1</v>
      </c>
      <c r="C51" s="1" t="str">
        <f t="shared" si="1"/>
        <v>%{(1500)&amp;&amp;(1501)}%%{(1502)||(1505)}%anti_windup_max_options_override_start</v>
      </c>
      <c r="E51" s="17" t="str">
        <f>"%{(" &amp; tokens!$E$48 &amp;")&amp;&amp;(" &amp; tokens!$E$49 &amp;")}%%{(" &amp; tokens!$E$50 &amp;")||(" &amp; tokens!$E$53 &amp; ")}%"</f>
        <v>%{(1500)&amp;&amp;(1501)}%%{(1502)||(1505)}%</v>
      </c>
      <c r="F51" s="17" t="s">
        <v>1048</v>
      </c>
      <c r="G51" s="17"/>
    </row>
    <row r="52" spans="1:7" s="1" customFormat="1" x14ac:dyDescent="0.25">
      <c r="A52" s="1">
        <v>45</v>
      </c>
      <c r="B52" s="1" t="s">
        <v>1</v>
      </c>
      <c r="C52" s="1" t="str">
        <f t="shared" si="1"/>
        <v>%{(1500)&amp;&amp;(1501)}%anti_windup_max_override</v>
      </c>
      <c r="E52" s="17" t="str">
        <f>"%{(" &amp; tokens!$E$48 &amp;")&amp;&amp;(" &amp; tokens!$E$49 &amp;")}%"</f>
        <v>%{(1500)&amp;&amp;(1501)}%</v>
      </c>
      <c r="F52" s="17" t="s">
        <v>1049</v>
      </c>
      <c r="G52" s="17"/>
    </row>
    <row r="53" spans="1:7" s="1" customFormat="1" x14ac:dyDescent="0.25">
      <c r="A53" s="1">
        <v>46</v>
      </c>
      <c r="B53" s="1" t="s">
        <v>1</v>
      </c>
      <c r="C53" s="1" t="str">
        <f t="shared" si="1"/>
        <v>%{(1500)&amp;&amp;(1501)&amp;&amp;(1505)}%anti_windup_soft_desaturation</v>
      </c>
      <c r="E53" s="17" t="str">
        <f>"%{(" &amp; tokens!$E$48 &amp;")&amp;&amp;(" &amp; tokens!$E$49 &amp;")&amp;&amp;(" &amp; tokens!$E$53 &amp;")}%"</f>
        <v>%{(1500)&amp;&amp;(1501)&amp;&amp;(1505)}%</v>
      </c>
      <c r="F53" s="17" t="s">
        <v>1050</v>
      </c>
      <c r="G53" s="17"/>
    </row>
    <row r="54" spans="1:7" s="1" customFormat="1" x14ac:dyDescent="0.25">
      <c r="A54" s="1">
        <v>47</v>
      </c>
      <c r="B54" s="1" t="s">
        <v>1</v>
      </c>
      <c r="C54" s="1" t="str">
        <f t="shared" si="1"/>
        <v>%{(1500)&amp;&amp;(1501)&amp;&amp;(1502)}%anti_windup_max_set_status_flag</v>
      </c>
      <c r="E54" s="17" t="str">
        <f>"%{(" &amp; tokens!$E$48 &amp;")&amp;&amp;(" &amp; tokens!$E$49 &amp;")&amp;&amp;(" &amp; tokens!$E$50 &amp;")}%"</f>
        <v>%{(1500)&amp;&amp;(1501)&amp;&amp;(1502)}%</v>
      </c>
      <c r="F54" s="17" t="s">
        <v>1051</v>
      </c>
      <c r="G54" s="17"/>
    </row>
    <row r="55" spans="1:7" s="1" customFormat="1" x14ac:dyDescent="0.25">
      <c r="A55" s="1">
        <v>48</v>
      </c>
      <c r="B55" s="1" t="s">
        <v>1</v>
      </c>
      <c r="C55" s="1" t="str">
        <f t="shared" si="1"/>
        <v>%{(1500)&amp;&amp;(1501)}%anti_windup_max_options_end</v>
      </c>
      <c r="E55" s="17" t="str">
        <f>"%{(" &amp; tokens!$E$48 &amp;")&amp;&amp;(" &amp; tokens!$E$49 &amp;")}%"</f>
        <v>%{(1500)&amp;&amp;(1501)}%</v>
      </c>
      <c r="F55" s="17" t="s">
        <v>1052</v>
      </c>
      <c r="G55" s="17"/>
    </row>
    <row r="56" spans="1:7" s="1" customFormat="1" x14ac:dyDescent="0.25">
      <c r="A56" s="1">
        <v>49</v>
      </c>
      <c r="B56" s="1" t="s">
        <v>1</v>
      </c>
      <c r="C56" s="1" t="str">
        <f t="shared" si="1"/>
        <v>%{(1500)&amp;&amp;(1503)}%anti_windup_min_start</v>
      </c>
      <c r="E56" s="17" t="str">
        <f>"%{(" &amp; tokens!$E$48 &amp;")&amp;&amp;(" &amp; tokens!$E$51 &amp;")}%"</f>
        <v>%{(1500)&amp;&amp;(1503)}%</v>
      </c>
      <c r="F56" s="17" t="s">
        <v>1060</v>
      </c>
      <c r="G56" s="17"/>
    </row>
    <row r="57" spans="1:7" s="1" customFormat="1" x14ac:dyDescent="0.25">
      <c r="A57" s="1">
        <v>50</v>
      </c>
      <c r="B57" s="1" t="s">
        <v>1</v>
      </c>
      <c r="C57" s="1" t="str">
        <f t="shared" si="1"/>
        <v>%{(1500)&amp;&amp;(1503)}%%{(1504)||(1505)}%anti_windup_min_options_start</v>
      </c>
      <c r="E57" s="17" t="str">
        <f>"%{(" &amp; tokens!$E$48 &amp;")&amp;&amp;(" &amp; tokens!$E$51 &amp;")}%%{(" &amp; tokens!$E$52 &amp;")||(" &amp; tokens!$E$53 &amp; ")}%"</f>
        <v>%{(1500)&amp;&amp;(1503)}%%{(1504)||(1505)}%</v>
      </c>
      <c r="F57" s="17" t="s">
        <v>1054</v>
      </c>
      <c r="G57" s="17"/>
    </row>
    <row r="58" spans="1:7" s="1" customFormat="1" x14ac:dyDescent="0.25">
      <c r="A58" s="1">
        <v>51</v>
      </c>
      <c r="B58" s="1" t="s">
        <v>1</v>
      </c>
      <c r="C58" s="1" t="str">
        <f t="shared" si="1"/>
        <v>%{(1500)&amp;&amp;(1503)&amp;&amp;(1504)}%anti_windup_min_clear_status_flag</v>
      </c>
      <c r="E58" s="17" t="str">
        <f>"%{(" &amp; tokens!$E$48 &amp;")&amp;&amp;(" &amp; tokens!$E$51 &amp;")&amp;&amp;(" &amp; tokens!$E$52 &amp;")}%"</f>
        <v>%{(1500)&amp;&amp;(1503)&amp;&amp;(1504)}%</v>
      </c>
      <c r="F58" s="17" t="s">
        <v>1053</v>
      </c>
      <c r="G58" s="17"/>
    </row>
    <row r="59" spans="1:7" s="1" customFormat="1" x14ac:dyDescent="0.25">
      <c r="A59" s="1">
        <v>52</v>
      </c>
      <c r="B59" s="1" t="s">
        <v>1</v>
      </c>
      <c r="C59" s="1" t="str">
        <f t="shared" si="1"/>
        <v>%{(1500)&amp;&amp;(1503)}%%{(1504)||(1505)}%anti_windup_min_options_override_bypass</v>
      </c>
      <c r="E59" s="17" t="str">
        <f>"%{(" &amp; tokens!$E$48 &amp;")&amp;&amp;(" &amp; tokens!$E$51 &amp;")}%%{(" &amp; tokens!$E$52 &amp;")||(" &amp; tokens!$E$53 &amp; ")}%"</f>
        <v>%{(1500)&amp;&amp;(1503)}%%{(1504)||(1505)}%</v>
      </c>
      <c r="F59" s="17" t="s">
        <v>1055</v>
      </c>
      <c r="G59" s="17"/>
    </row>
    <row r="60" spans="1:7" s="1" customFormat="1" x14ac:dyDescent="0.25">
      <c r="A60" s="1">
        <v>53</v>
      </c>
      <c r="B60" s="1" t="s">
        <v>1</v>
      </c>
      <c r="C60" s="1" t="str">
        <f t="shared" si="1"/>
        <v>%{(1500)&amp;&amp;(1503)}%%{(1504)||(1505)}%anti_windup_min_options_override_start</v>
      </c>
      <c r="E60" s="17" t="str">
        <f>"%{(" &amp; tokens!$E$48 &amp;")&amp;&amp;(" &amp; tokens!$E$51 &amp;")}%%{(" &amp; tokens!$E$52 &amp;")||(" &amp; tokens!$E$53 &amp; ")}%"</f>
        <v>%{(1500)&amp;&amp;(1503)}%%{(1504)||(1505)}%</v>
      </c>
      <c r="F60" s="17" t="s">
        <v>1056</v>
      </c>
      <c r="G60" s="17"/>
    </row>
    <row r="61" spans="1:7" s="1" customFormat="1" x14ac:dyDescent="0.25">
      <c r="A61" s="1">
        <v>54</v>
      </c>
      <c r="B61" s="1" t="s">
        <v>1</v>
      </c>
      <c r="C61" s="1" t="str">
        <f t="shared" si="1"/>
        <v>%{(1500)&amp;&amp;(1503)}%anti_windup_min_override</v>
      </c>
      <c r="E61" s="17" t="str">
        <f>"%{(" &amp; tokens!$E$48 &amp;")&amp;&amp;(" &amp; tokens!$E$51 &amp;")}%"</f>
        <v>%{(1500)&amp;&amp;(1503)}%</v>
      </c>
      <c r="F61" s="17" t="s">
        <v>1057</v>
      </c>
      <c r="G61" s="17"/>
    </row>
    <row r="62" spans="1:7" s="1" customFormat="1" x14ac:dyDescent="0.25">
      <c r="A62" s="1">
        <v>55</v>
      </c>
      <c r="B62" s="1" t="s">
        <v>1</v>
      </c>
      <c r="C62" s="1" t="str">
        <f t="shared" si="1"/>
        <v>%{(1500)&amp;&amp;(1503)&amp;&amp;(1505)}%anti_windup_soft_desaturation</v>
      </c>
      <c r="E62" s="17" t="str">
        <f>"%{(" &amp; tokens!$E$48 &amp;")&amp;&amp;(" &amp; tokens!$E$51 &amp;")&amp;&amp;(" &amp; tokens!$E$53 &amp;")}%"</f>
        <v>%{(1500)&amp;&amp;(1503)&amp;&amp;(1505)}%</v>
      </c>
      <c r="F62" s="17" t="s">
        <v>1050</v>
      </c>
      <c r="G62" s="17"/>
    </row>
    <row r="63" spans="1:7" s="1" customFormat="1" x14ac:dyDescent="0.25">
      <c r="A63" s="1">
        <v>56</v>
      </c>
      <c r="B63" s="1" t="s">
        <v>1</v>
      </c>
      <c r="C63" s="1" t="str">
        <f t="shared" si="1"/>
        <v>%{(1500)&amp;&amp;(1503)&amp;&amp;(1504)}%anti_windup_min_set_status_flag</v>
      </c>
      <c r="E63" s="17" t="str">
        <f>"%{(" &amp; tokens!$E$48 &amp;")&amp;&amp;(" &amp; tokens!$E$51 &amp;")&amp;&amp;(" &amp; tokens!$E$52 &amp; ")}%"</f>
        <v>%{(1500)&amp;&amp;(1503)&amp;&amp;(1504)}%</v>
      </c>
      <c r="F63" s="17" t="s">
        <v>1058</v>
      </c>
      <c r="G63" s="17"/>
    </row>
    <row r="64" spans="1:7" s="1" customFormat="1" x14ac:dyDescent="0.25">
      <c r="A64" s="1">
        <v>57</v>
      </c>
      <c r="B64" s="1" t="s">
        <v>1</v>
      </c>
      <c r="C64" s="1" t="str">
        <f t="shared" si="1"/>
        <v>%{(1500)&amp;&amp;(1503)}%anti_windup_min_options_end</v>
      </c>
      <c r="E64" s="17" t="str">
        <f>"%{(" &amp; tokens!$E$48 &amp;")&amp;&amp;(" &amp; tokens!$E$51 &amp;")}%"</f>
        <v>%{(1500)&amp;&amp;(1503)}%</v>
      </c>
      <c r="F64" s="17" t="s">
        <v>1059</v>
      </c>
      <c r="G64" s="17"/>
    </row>
    <row r="65" spans="1:7" s="1" customFormat="1" x14ac:dyDescent="0.25">
      <c r="A65" s="1">
        <v>58</v>
      </c>
      <c r="B65" s="1" t="s">
        <v>1</v>
      </c>
      <c r="C65" s="1" t="str">
        <f t="shared" si="1"/>
        <v>comp_writeback</v>
      </c>
      <c r="E65" s="17"/>
      <c r="F65" s="17" t="s">
        <v>36</v>
      </c>
      <c r="G65" s="17"/>
    </row>
    <row r="66" spans="1:7" s="1" customFormat="1" x14ac:dyDescent="0.25">
      <c r="A66" s="1">
        <v>59</v>
      </c>
      <c r="B66" s="1" t="s">
        <v>1</v>
      </c>
      <c r="C66" s="1" t="str">
        <f t="shared" si="1"/>
        <v>%{(1400)&amp;&amp;(1403)}%shadow_copy_control_output</v>
      </c>
      <c r="E66" s="17" t="str">
        <f>"%{(" &amp; tokens!$E$44 &amp;")&amp;&amp;(" &amp; tokens!$E$47 &amp; ")}%"</f>
        <v>%{(1400)&amp;&amp;(1403)}%</v>
      </c>
      <c r="F66" s="17" t="s">
        <v>35</v>
      </c>
      <c r="G66" s="17"/>
    </row>
    <row r="67" spans="1:7" s="1" customFormat="1" x14ac:dyDescent="0.25">
      <c r="A67" s="1">
        <v>60</v>
      </c>
      <c r="B67" s="1" t="s">
        <v>1</v>
      </c>
      <c r="C67" s="1" t="str">
        <f t="shared" si="1"/>
        <v>%{(1200)&amp;&amp;(1206)}%adc_trigger_a_placement</v>
      </c>
      <c r="E67" s="17" t="str">
        <f>"%{(" &amp; tokens!$E$31 &amp;")&amp;&amp;(" &amp; tokens!$E$37 &amp; ")}%"</f>
        <v>%{(1200)&amp;&amp;(1206)}%</v>
      </c>
      <c r="F67" s="17" t="s">
        <v>34</v>
      </c>
      <c r="G67" s="17"/>
    </row>
    <row r="68" spans="1:7" s="1" customFormat="1" x14ac:dyDescent="0.25">
      <c r="A68" s="1">
        <v>61</v>
      </c>
      <c r="B68" s="1" t="s">
        <v>1</v>
      </c>
      <c r="C68" s="1" t="str">
        <f t="shared" si="1"/>
        <v>%{(1200)&amp;&amp;(1207)}%adc_trigger_b_placement</v>
      </c>
      <c r="E68" s="17" t="str">
        <f>"%{(" &amp; tokens!$E$31 &amp;")&amp;&amp;(" &amp; tokens!$E$38 &amp; ")}%"</f>
        <v>%{(1200)&amp;&amp;(1207)}%</v>
      </c>
      <c r="F68" s="17" t="s">
        <v>33</v>
      </c>
      <c r="G68" s="17"/>
    </row>
    <row r="69" spans="1:7" s="1" customFormat="1" x14ac:dyDescent="0.25">
      <c r="A69" s="1">
        <v>62</v>
      </c>
      <c r="B69" s="1" t="s">
        <v>1</v>
      </c>
      <c r="C69" s="1" t="str">
        <f t="shared" si="1"/>
        <v>load_control_history_array_ptr</v>
      </c>
      <c r="E69" s="17"/>
      <c r="F69" s="17" t="s">
        <v>32</v>
      </c>
      <c r="G69" s="17"/>
    </row>
    <row r="70" spans="1:7" s="1" customFormat="1" x14ac:dyDescent="0.25">
      <c r="A70" s="1">
        <v>63</v>
      </c>
      <c r="B70" s="1" t="s">
        <v>1</v>
      </c>
      <c r="C70" s="1" t="str">
        <f t="shared" si="1"/>
        <v>comp_control_history_update</v>
      </c>
      <c r="E70" s="17"/>
      <c r="F70" s="17" t="s">
        <v>31</v>
      </c>
      <c r="G70" s="17"/>
    </row>
    <row r="71" spans="1:7" s="1" customFormat="1" x14ac:dyDescent="0.25">
      <c r="A71" s="1">
        <v>64</v>
      </c>
      <c r="B71" s="1" t="s">
        <v>1</v>
      </c>
      <c r="C71" s="1" t="str">
        <f t="shared" si="1"/>
        <v>comp_control_add_most_recent_to_history</v>
      </c>
      <c r="E71" s="17"/>
      <c r="F71" s="17" t="s">
        <v>30</v>
      </c>
      <c r="G71" s="17"/>
    </row>
    <row r="72" spans="1:7" s="1" customFormat="1" x14ac:dyDescent="0.25">
      <c r="A72" s="1">
        <v>65</v>
      </c>
      <c r="B72" s="1" t="s">
        <v>1</v>
      </c>
      <c r="C72" s="1" t="str">
        <f t="shared" si="1"/>
        <v>update_status_bitfield</v>
      </c>
      <c r="E72" s="17"/>
      <c r="F72" s="17" t="s">
        <v>28</v>
      </c>
      <c r="G72" s="17"/>
    </row>
    <row r="73" spans="1:7" s="1" customFormat="1" x14ac:dyDescent="0.25">
      <c r="A73" s="1">
        <v>66</v>
      </c>
      <c r="B73" s="1" t="s">
        <v>1</v>
      </c>
      <c r="C73" s="1" t="str">
        <f t="shared" si="1"/>
        <v>%{(1100)}%context_restore</v>
      </c>
      <c r="E73" s="17" t="str">
        <f>"%{(" &amp; tokens!$E$23 &amp;")}%"</f>
        <v>%{(1100)}%</v>
      </c>
      <c r="F73" s="17" t="s">
        <v>19</v>
      </c>
      <c r="G73" s="17"/>
    </row>
    <row r="74" spans="1:7" s="1" customFormat="1" x14ac:dyDescent="0.25">
      <c r="A74" s="1">
        <v>67</v>
      </c>
      <c r="B74" s="1" t="s">
        <v>1</v>
      </c>
      <c r="C74" s="1" t="str">
        <f t="shared" si="1"/>
        <v>%{(1100)&amp;&amp;(1102)}%context_restore_mac_registers</v>
      </c>
      <c r="E74" s="17" t="str">
        <f>"%{(" &amp; tokens!$E$23 &amp;")&amp;&amp;(" &amp; tokens!$E$25 &amp; ")}%"</f>
        <v>%{(1100)&amp;&amp;(1102)}%</v>
      </c>
      <c r="F74" s="17" t="s">
        <v>27</v>
      </c>
      <c r="G74" s="17"/>
    </row>
    <row r="75" spans="1:7" s="1" customFormat="1" x14ac:dyDescent="0.25">
      <c r="A75" s="1">
        <v>68</v>
      </c>
      <c r="B75" s="1" t="s">
        <v>1</v>
      </c>
      <c r="C75" s="1" t="str">
        <f t="shared" si="1"/>
        <v>%{(1100)&amp;&amp;(1103)&amp;&amp;(1104)}%context_restore_accumulator_a</v>
      </c>
      <c r="E75" s="17" t="str">
        <f>"%{(" &amp; tokens!$E$23 &amp;")&amp;&amp;(" &amp; tokens!$E$26 &amp; ")&amp;&amp;(" &amp; tokens!$E$27 &amp; ")}%"</f>
        <v>%{(1100)&amp;&amp;(1103)&amp;&amp;(1104)}%</v>
      </c>
      <c r="F75" s="17" t="s">
        <v>26</v>
      </c>
      <c r="G75" s="17"/>
    </row>
    <row r="76" spans="1:7" s="1" customFormat="1" x14ac:dyDescent="0.25">
      <c r="A76" s="1">
        <v>69</v>
      </c>
      <c r="B76" s="1" t="s">
        <v>1</v>
      </c>
      <c r="C76" s="1" t="str">
        <f t="shared" si="1"/>
        <v>%{(1100)&amp;&amp;(1103)&amp;&amp;(1105)}%context_restore_accumulator_b</v>
      </c>
      <c r="E76" s="17" t="str">
        <f>"%{(" &amp; tokens!$E$23 &amp;")&amp;&amp;(" &amp; tokens!$E$26 &amp; ")&amp;&amp;(" &amp; tokens!$E$28 &amp; ")}%"</f>
        <v>%{(1100)&amp;&amp;(1103)&amp;&amp;(1105)}%</v>
      </c>
      <c r="F76" s="17" t="s">
        <v>25</v>
      </c>
      <c r="G76" s="17"/>
    </row>
    <row r="77" spans="1:7" s="1" customFormat="1" x14ac:dyDescent="0.25">
      <c r="A77" s="1">
        <v>70</v>
      </c>
      <c r="B77" s="1" t="s">
        <v>1</v>
      </c>
      <c r="C77" s="1" t="str">
        <f t="shared" si="1"/>
        <v>%{(1100)&amp;&amp;(1106)}%context_restore_core_config</v>
      </c>
      <c r="E77" s="17" t="str">
        <f>"%{(" &amp; tokens!$E$23 &amp;")&amp;&amp;(" &amp; tokens!$E$29 &amp; ")}%"</f>
        <v>%{(1100)&amp;&amp;(1106)}%</v>
      </c>
      <c r="F77" s="17" t="s">
        <v>24</v>
      </c>
      <c r="G77" s="17"/>
    </row>
    <row r="78" spans="1:7" s="1" customFormat="1" x14ac:dyDescent="0.25">
      <c r="A78" s="1">
        <v>71</v>
      </c>
      <c r="B78" s="1" t="s">
        <v>1</v>
      </c>
      <c r="C78" s="1" t="str">
        <f t="shared" si="1"/>
        <v>%{(1100)&amp;&amp;(1107)}%context_restore_core_status</v>
      </c>
      <c r="E78" s="17" t="str">
        <f>"%{(" &amp; tokens!$E$23 &amp;")&amp;&amp;(" &amp; tokens!$E$30 &amp; ")}%"</f>
        <v>%{(1100)&amp;&amp;(1107)}%</v>
      </c>
      <c r="F78" s="17" t="s">
        <v>23</v>
      </c>
      <c r="G78" s="17"/>
    </row>
    <row r="79" spans="1:7" s="1" customFormat="1" x14ac:dyDescent="0.25">
      <c r="A79" s="1">
        <v>72</v>
      </c>
      <c r="B79" s="1" t="s">
        <v>1</v>
      </c>
      <c r="C79" s="1" t="str">
        <f t="shared" si="1"/>
        <v>%{(1200)&amp;&amp;(1203)&amp;&amp;(!1204)}%enable_disable_end</v>
      </c>
      <c r="E79" s="17" t="str">
        <f>"%{(" &amp; tokens!$E$31 &amp;")&amp;&amp;(" &amp; tokens!$E$34 &amp; ")&amp;&amp;(!" &amp; tokens!$E$35 &amp; ")}%"</f>
        <v>%{(1200)&amp;&amp;(1203)&amp;&amp;(!1204)}%</v>
      </c>
      <c r="F79" s="17" t="s">
        <v>22</v>
      </c>
      <c r="G79" s="17"/>
    </row>
    <row r="80" spans="1:7" s="1" customFormat="1" x14ac:dyDescent="0.25">
      <c r="A80" s="1">
        <v>73</v>
      </c>
      <c r="B80" s="1" t="s">
        <v>1</v>
      </c>
      <c r="C80" s="1" t="str">
        <f t="shared" si="1"/>
        <v>%{(1200)&amp;&amp;(1203)&amp;&amp;(1204)}%enable_disable_end_dummy_read</v>
      </c>
      <c r="E80" s="17" t="str">
        <f>"%{(" &amp; tokens!$E$31 &amp;")&amp;&amp;(" &amp; tokens!$E$34 &amp; ")&amp;&amp;(" &amp; tokens!$E$35 &amp; ")}%"</f>
        <v>%{(1200)&amp;&amp;(1203)&amp;&amp;(1204)}%</v>
      </c>
      <c r="F80" s="17" t="s">
        <v>21</v>
      </c>
      <c r="G80" s="17"/>
    </row>
    <row r="81" spans="1:7" s="1" customFormat="1" x14ac:dyDescent="0.25">
      <c r="A81" s="1">
        <v>74</v>
      </c>
      <c r="B81" s="1" t="s">
        <v>1</v>
      </c>
      <c r="C81" s="1" t="str">
        <f t="shared" si="1"/>
        <v>%{(1200)&amp;&amp;(1203)&amp;&amp;(1204)&amp;&amp;(1400)&amp;&amp;(1401)}%shadow_copy_control_input</v>
      </c>
      <c r="E81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1" s="17" t="s">
        <v>52</v>
      </c>
      <c r="G81" s="17"/>
    </row>
    <row r="82" spans="1:7" s="1" customFormat="1" x14ac:dyDescent="0.25">
      <c r="A82" s="1">
        <v>75</v>
      </c>
      <c r="B82" s="1" t="s">
        <v>1</v>
      </c>
      <c r="C82" s="1" t="str">
        <f t="shared" si="1"/>
        <v>%{(1200)&amp;&amp;(1203)&amp;&amp;(1204)}%enable_disable_end_dummy_read_end</v>
      </c>
      <c r="E82" s="17" t="str">
        <f>"%{(" &amp; tokens!$E$31 &amp;")&amp;&amp;(" &amp; tokens!$E$34 &amp; ")&amp;&amp;(" &amp; tokens!$E$35 &amp; ")}%"</f>
        <v>%{(1200)&amp;&amp;(1203)&amp;&amp;(1204)}%</v>
      </c>
      <c r="F82" s="17" t="s">
        <v>20</v>
      </c>
      <c r="G82" s="17"/>
    </row>
    <row r="83" spans="1:7" s="1" customFormat="1" x14ac:dyDescent="0.25">
      <c r="A83" s="1">
        <v>76</v>
      </c>
      <c r="B83" s="1" t="s">
        <v>1</v>
      </c>
      <c r="C83" s="1" t="str">
        <f t="shared" si="1"/>
        <v>%{(1208)}%cascaded_function_call</v>
      </c>
      <c r="E83" s="17" t="str">
        <f>"%{(" &amp; tokens!$E$39 &amp;")}%"</f>
        <v>%{(1208)}%</v>
      </c>
      <c r="F83" s="17" t="s">
        <v>29</v>
      </c>
      <c r="G83" s="17"/>
    </row>
    <row r="84" spans="1:7" s="1" customFormat="1" x14ac:dyDescent="0.25">
      <c r="A84" s="1">
        <v>77</v>
      </c>
      <c r="B84" s="1" t="s">
        <v>1</v>
      </c>
      <c r="C84" s="1" t="str">
        <f t="shared" si="1"/>
        <v>%{(1100)}%context_restore</v>
      </c>
      <c r="E84" s="17" t="str">
        <f>"%{(" &amp; tokens!$E$23 &amp;")}%"</f>
        <v>%{(1100)}%</v>
      </c>
      <c r="F84" s="17" t="s">
        <v>19</v>
      </c>
      <c r="G84" s="17"/>
    </row>
    <row r="85" spans="1:7" s="1" customFormat="1" x14ac:dyDescent="0.25">
      <c r="A85" s="1">
        <v>78</v>
      </c>
      <c r="B85" s="1" t="s">
        <v>1</v>
      </c>
      <c r="C85" s="1" t="str">
        <f t="shared" si="1"/>
        <v>%{(1100)&amp;&amp;(1101)}%context_restore_shadow</v>
      </c>
      <c r="E85" s="17" t="str">
        <f>"%{(" &amp; tokens!$E$23 &amp;")&amp;&amp;(" &amp; tokens!$E$24 &amp; ")}%"</f>
        <v>%{(1100)&amp;&amp;(1101)}%</v>
      </c>
      <c r="F85" s="17" t="s">
        <v>18</v>
      </c>
      <c r="G85" s="17"/>
    </row>
    <row r="86" spans="1:7" s="1" customFormat="1" x14ac:dyDescent="0.25">
      <c r="A86" s="1">
        <v>79</v>
      </c>
      <c r="B86" s="1" t="s">
        <v>1</v>
      </c>
      <c r="C86" s="1" t="str">
        <f t="shared" si="1"/>
        <v>%{(1100)}%context_restore_status_word_wreg</v>
      </c>
      <c r="E86" s="17" t="str">
        <f>"%{(" &amp; tokens!$E$23 &amp;")}%"</f>
        <v>%{(1100)}%</v>
      </c>
      <c r="F86" s="17" t="s">
        <v>17</v>
      </c>
      <c r="G86" s="17"/>
    </row>
    <row r="87" spans="1:7" s="1" customFormat="1" x14ac:dyDescent="0.25">
      <c r="A87" s="1">
        <v>80</v>
      </c>
      <c r="B87" s="1" t="s">
        <v>1</v>
      </c>
      <c r="C87" s="1" t="str">
        <f t="shared" si="1"/>
        <v>return</v>
      </c>
      <c r="E87" s="17"/>
      <c r="F87" s="17" t="s">
        <v>2</v>
      </c>
      <c r="G87" s="17"/>
    </row>
    <row r="88" spans="1:7" s="1" customFormat="1" ht="15.75" x14ac:dyDescent="0.3">
      <c r="A88" s="1">
        <v>81</v>
      </c>
      <c r="B88" s="1" t="s">
        <v>1</v>
      </c>
      <c r="C88" s="14" t="str">
        <f t="shared" si="1"/>
        <v>reset_function_head</v>
      </c>
      <c r="E88" s="17"/>
      <c r="F88" s="18" t="s">
        <v>16</v>
      </c>
      <c r="G88" s="17"/>
    </row>
    <row r="89" spans="1:7" s="1" customFormat="1" x14ac:dyDescent="0.25">
      <c r="A89" s="1">
        <v>82</v>
      </c>
      <c r="B89" s="1" t="s">
        <v>1</v>
      </c>
      <c r="C89" s="1" t="str">
        <f t="shared" si="1"/>
        <v>clear_control_history_start</v>
      </c>
      <c r="E89" s="17"/>
      <c r="F89" s="17" t="s">
        <v>15</v>
      </c>
      <c r="G89" s="17"/>
    </row>
    <row r="90" spans="1:7" s="1" customFormat="1" x14ac:dyDescent="0.25">
      <c r="A90" s="1">
        <v>83</v>
      </c>
      <c r="B90" s="1" t="s">
        <v>1</v>
      </c>
      <c r="C90" s="1" t="str">
        <f t="shared" si="1"/>
        <v>clear_control_history_loop</v>
      </c>
      <c r="E90" s="17"/>
      <c r="F90" s="17" t="s">
        <v>14</v>
      </c>
      <c r="G90" s="17"/>
    </row>
    <row r="91" spans="1:7" s="1" customFormat="1" x14ac:dyDescent="0.25">
      <c r="A91" s="1">
        <v>84</v>
      </c>
      <c r="B91" s="1" t="s">
        <v>1</v>
      </c>
      <c r="C91" s="1" t="str">
        <f t="shared" si="1"/>
        <v>clear_control_history_end</v>
      </c>
      <c r="E91" s="17"/>
      <c r="F91" s="17" t="s">
        <v>13</v>
      </c>
      <c r="G91" s="17"/>
    </row>
    <row r="92" spans="1:7" s="1" customFormat="1" x14ac:dyDescent="0.25">
      <c r="A92" s="1">
        <v>85</v>
      </c>
      <c r="B92" s="1" t="s">
        <v>1</v>
      </c>
      <c r="C92" s="1" t="str">
        <f t="shared" si="1"/>
        <v>clear_error_history_start</v>
      </c>
      <c r="E92" s="17"/>
      <c r="F92" s="17" t="s">
        <v>12</v>
      </c>
      <c r="G92" s="17"/>
    </row>
    <row r="93" spans="1:7" s="1" customFormat="1" x14ac:dyDescent="0.25">
      <c r="A93" s="1">
        <v>86</v>
      </c>
      <c r="B93" s="1" t="s">
        <v>1</v>
      </c>
      <c r="C93" s="1" t="str">
        <f t="shared" si="1"/>
        <v>clear_error_history_loop</v>
      </c>
      <c r="E93" s="17"/>
      <c r="F93" s="17" t="s">
        <v>11</v>
      </c>
      <c r="G93" s="17"/>
    </row>
    <row r="94" spans="1:7" s="1" customFormat="1" x14ac:dyDescent="0.25">
      <c r="A94" s="1">
        <v>87</v>
      </c>
      <c r="B94" s="1" t="s">
        <v>1</v>
      </c>
      <c r="C94" s="1" t="str">
        <f t="shared" si="1"/>
        <v>clear_error_history_end</v>
      </c>
      <c r="E94" s="17"/>
      <c r="F94" s="17" t="s">
        <v>10</v>
      </c>
      <c r="G94" s="17"/>
    </row>
    <row r="95" spans="1:7" s="1" customFormat="1" x14ac:dyDescent="0.25">
      <c r="A95" s="1">
        <v>88</v>
      </c>
      <c r="B95" s="1" t="s">
        <v>1</v>
      </c>
      <c r="C95" s="1" t="str">
        <f t="shared" si="1"/>
        <v>return</v>
      </c>
      <c r="E95" s="17"/>
      <c r="F95" s="17" t="s">
        <v>2</v>
      </c>
      <c r="G95" s="17"/>
    </row>
    <row r="96" spans="1:7" s="1" customFormat="1" ht="15.75" x14ac:dyDescent="0.3">
      <c r="A96" s="1">
        <v>89</v>
      </c>
      <c r="B96" s="1" t="s">
        <v>1</v>
      </c>
      <c r="C96" s="14" t="str">
        <f t="shared" ref="C96:C163" si="2">E96 &amp; F96</f>
        <v>charge_function_head</v>
      </c>
      <c r="E96" s="17"/>
      <c r="F96" s="18" t="s">
        <v>9</v>
      </c>
      <c r="G96" s="17"/>
    </row>
    <row r="97" spans="1:7" s="1" customFormat="1" x14ac:dyDescent="0.25">
      <c r="A97" s="1">
        <v>90</v>
      </c>
      <c r="B97" s="1" t="s">
        <v>1</v>
      </c>
      <c r="C97" s="1" t="str">
        <f t="shared" si="2"/>
        <v>charge_error_history_start</v>
      </c>
      <c r="E97" s="17"/>
      <c r="F97" s="17" t="s">
        <v>8</v>
      </c>
      <c r="G97" s="17"/>
    </row>
    <row r="98" spans="1:7" s="1" customFormat="1" x14ac:dyDescent="0.25">
      <c r="A98" s="1">
        <v>91</v>
      </c>
      <c r="B98" s="1" t="s">
        <v>1</v>
      </c>
      <c r="C98" s="1" t="str">
        <f t="shared" si="2"/>
        <v>charge_error_history_loop</v>
      </c>
      <c r="E98" s="17"/>
      <c r="F98" s="17" t="s">
        <v>7</v>
      </c>
      <c r="G98" s="17"/>
    </row>
    <row r="99" spans="1:7" s="1" customFormat="1" x14ac:dyDescent="0.25">
      <c r="A99" s="1">
        <v>92</v>
      </c>
      <c r="B99" s="1" t="s">
        <v>1</v>
      </c>
      <c r="C99" s="1" t="str">
        <f t="shared" si="2"/>
        <v>charge_error_history_end</v>
      </c>
      <c r="E99" s="17"/>
      <c r="F99" s="17" t="s">
        <v>6</v>
      </c>
      <c r="G99" s="17"/>
    </row>
    <row r="100" spans="1:7" s="1" customFormat="1" x14ac:dyDescent="0.25">
      <c r="A100" s="1">
        <v>93</v>
      </c>
      <c r="B100" s="1" t="s">
        <v>1</v>
      </c>
      <c r="C100" s="1" t="str">
        <f t="shared" si="2"/>
        <v>charge_control_history_start</v>
      </c>
      <c r="E100" s="17"/>
      <c r="F100" s="17" t="s">
        <v>5</v>
      </c>
      <c r="G100" s="17"/>
    </row>
    <row r="101" spans="1:7" s="1" customFormat="1" x14ac:dyDescent="0.25">
      <c r="A101" s="1">
        <v>94</v>
      </c>
      <c r="B101" s="1" t="s">
        <v>1</v>
      </c>
      <c r="C101" s="1" t="str">
        <f t="shared" si="2"/>
        <v>charge_control_history_loop</v>
      </c>
      <c r="E101" s="17"/>
      <c r="F101" s="17" t="s">
        <v>4</v>
      </c>
      <c r="G101" s="17"/>
    </row>
    <row r="102" spans="1:7" s="1" customFormat="1" x14ac:dyDescent="0.25">
      <c r="A102" s="1">
        <v>95</v>
      </c>
      <c r="B102" s="1" t="s">
        <v>1</v>
      </c>
      <c r="C102" s="1" t="str">
        <f t="shared" si="2"/>
        <v>charge_control_history_end</v>
      </c>
      <c r="E102" s="17"/>
      <c r="F102" s="17" t="s">
        <v>3</v>
      </c>
      <c r="G102" s="17"/>
    </row>
    <row r="103" spans="1:7" s="1" customFormat="1" x14ac:dyDescent="0.25">
      <c r="A103" s="1">
        <v>96</v>
      </c>
      <c r="B103" s="1" t="s">
        <v>1</v>
      </c>
      <c r="C103" s="1" t="str">
        <f t="shared" si="2"/>
        <v>return</v>
      </c>
      <c r="E103" s="17"/>
      <c r="F103" s="17" t="s">
        <v>2</v>
      </c>
      <c r="G103" s="17"/>
    </row>
    <row r="104" spans="1:7" s="1" customFormat="1" ht="15.75" x14ac:dyDescent="0.3">
      <c r="A104" s="1">
        <v>97</v>
      </c>
      <c r="B104" s="1" t="s">
        <v>1</v>
      </c>
      <c r="C104" s="14" t="str">
        <f t="shared" si="2"/>
        <v>%{(1209)}%pterm_function_head</v>
      </c>
      <c r="E104" s="17" t="str">
        <f>"%{(" &amp; tokens!$E$40 &amp;")}%"</f>
        <v>%{(1209)}%</v>
      </c>
      <c r="F104" s="18" t="s">
        <v>948</v>
      </c>
      <c r="G104" s="17"/>
    </row>
    <row r="105" spans="1:7" s="1" customFormat="1" x14ac:dyDescent="0.25">
      <c r="A105" s="1">
        <v>98</v>
      </c>
      <c r="B105" s="1" t="s">
        <v>1</v>
      </c>
      <c r="C105" s="1" t="str">
        <f t="shared" si="2"/>
        <v>%{(1209)&amp;&amp;(1100)}%context_save</v>
      </c>
      <c r="E105" s="17" t="str">
        <f>"%{(" &amp; tokens!$E$40 &amp;")&amp;&amp;(" &amp; tokens!$E$23 &amp;")}%"</f>
        <v>%{(1209)&amp;&amp;(1100)}%</v>
      </c>
      <c r="F105" s="17" t="s">
        <v>65</v>
      </c>
      <c r="G105" s="17"/>
    </row>
    <row r="106" spans="1:7" s="1" customFormat="1" x14ac:dyDescent="0.25">
      <c r="A106" s="1">
        <v>99</v>
      </c>
      <c r="B106" s="1" t="s">
        <v>1</v>
      </c>
      <c r="C106" s="1" t="str">
        <f t="shared" si="2"/>
        <v>%{(1209)&amp;&amp;(1100)&amp;&amp;(1101)}%context_save_shadow</v>
      </c>
      <c r="E106" s="17" t="str">
        <f>"%{(" &amp; tokens!$E$40 &amp;")&amp;&amp;(" &amp; tokens!$E$23 &amp;")&amp;&amp;(" &amp; tokens!$E$24 &amp; ")}%"</f>
        <v>%{(1209)&amp;&amp;(1100)&amp;&amp;(1101)}%</v>
      </c>
      <c r="F106" s="17" t="s">
        <v>68</v>
      </c>
      <c r="G106" s="17"/>
    </row>
    <row r="107" spans="1:7" s="1" customFormat="1" x14ac:dyDescent="0.25">
      <c r="A107" s="1">
        <v>100</v>
      </c>
      <c r="B107" s="1" t="s">
        <v>1</v>
      </c>
      <c r="C107" s="1" t="str">
        <f t="shared" si="2"/>
        <v>%{(1209)&amp;&amp;(1100)}%context_save_status_word_wreg</v>
      </c>
      <c r="E107" s="17" t="str">
        <f>"%{(" &amp; tokens!$E$40 &amp;")&amp;&amp;(" &amp; tokens!$E$23 &amp;")}%"</f>
        <v>%{(1209)&amp;&amp;(1100)}%</v>
      </c>
      <c r="F107" s="17" t="s">
        <v>67</v>
      </c>
      <c r="G107" s="17"/>
    </row>
    <row r="108" spans="1:7" s="1" customFormat="1" x14ac:dyDescent="0.25">
      <c r="A108" s="1">
        <v>101</v>
      </c>
      <c r="B108" s="1" t="s">
        <v>1</v>
      </c>
      <c r="C108" s="1" t="str">
        <f t="shared" si="2"/>
        <v>%{(1209)&amp;&amp;(1200)&amp;&amp;(1203)}%enable_disable_start_pterm</v>
      </c>
      <c r="E108" s="17" t="str">
        <f>"%{(" &amp; tokens!$E$40 &amp;")&amp;&amp;(" &amp; tokens!$E$31 &amp;")&amp;&amp;(" &amp; tokens!$E$34 &amp; ")}%"</f>
        <v>%{(1209)&amp;&amp;(1200)&amp;&amp;(1203)}%</v>
      </c>
      <c r="F108" s="17" t="s">
        <v>977</v>
      </c>
      <c r="G108" s="17"/>
    </row>
    <row r="109" spans="1:7" s="1" customFormat="1" x14ac:dyDescent="0.25">
      <c r="A109" s="1">
        <v>102</v>
      </c>
      <c r="B109" s="1" t="s">
        <v>1</v>
      </c>
      <c r="C109" s="1" t="str">
        <f t="shared" si="2"/>
        <v>%{(1209)&amp;&amp;(1100)}%context_save</v>
      </c>
      <c r="E109" s="17" t="str">
        <f>"%{(" &amp; tokens!$E$40 &amp;")&amp;&amp;(" &amp; tokens!$E$23 &amp;")}%"</f>
        <v>%{(1209)&amp;&amp;(1100)}%</v>
      </c>
      <c r="F109" s="17" t="s">
        <v>65</v>
      </c>
      <c r="G109" s="17"/>
    </row>
    <row r="110" spans="1:7" s="1" customFormat="1" x14ac:dyDescent="0.25">
      <c r="A110" s="1">
        <v>103</v>
      </c>
      <c r="B110" s="1" t="s">
        <v>1</v>
      </c>
      <c r="C110" s="1" t="str">
        <f t="shared" si="2"/>
        <v>%{(1209)&amp;&amp;(1100)&amp;&amp;(1102)}%context_save_mac_registers</v>
      </c>
      <c r="E110" s="17" t="str">
        <f>"%{(" &amp; tokens!$E$40 &amp;")&amp;&amp;(" &amp; tokens!$E$23 &amp;")&amp;&amp;(" &amp; tokens!$E$25 &amp; ")}%"</f>
        <v>%{(1209)&amp;&amp;(1100)&amp;&amp;(1102)}%</v>
      </c>
      <c r="F110" s="17" t="s">
        <v>64</v>
      </c>
      <c r="G110" s="17"/>
    </row>
    <row r="111" spans="1:7" s="1" customFormat="1" x14ac:dyDescent="0.25">
      <c r="A111" s="1">
        <v>104</v>
      </c>
      <c r="B111" s="1" t="s">
        <v>1</v>
      </c>
      <c r="C111" s="1" t="str">
        <f t="shared" si="2"/>
        <v>%{(1209)&amp;&amp;(1100)&amp;&amp;(1103)&amp;&amp;(1104)}%context_save_accumulator_a</v>
      </c>
      <c r="E111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1" s="17" t="s">
        <v>63</v>
      </c>
      <c r="G111" s="17"/>
    </row>
    <row r="112" spans="1:7" s="1" customFormat="1" x14ac:dyDescent="0.25">
      <c r="A112" s="1">
        <v>105</v>
      </c>
      <c r="B112" s="1" t="s">
        <v>1</v>
      </c>
      <c r="C112" s="1" t="str">
        <f t="shared" si="2"/>
        <v>%{(1209)&amp;&amp;(1100)&amp;&amp;(1103)&amp;&amp;(1105)}%context_save_accumulator_b</v>
      </c>
      <c r="E112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2" s="17" t="s">
        <v>62</v>
      </c>
      <c r="G112" s="17"/>
    </row>
    <row r="113" spans="1:7" s="1" customFormat="1" x14ac:dyDescent="0.25">
      <c r="A113" s="1">
        <v>106</v>
      </c>
      <c r="B113" s="1" t="s">
        <v>1</v>
      </c>
      <c r="C113" s="1" t="str">
        <f t="shared" si="2"/>
        <v>%{(1209)&amp;&amp;(1100)&amp;&amp;(1106)}%context_save_core_config</v>
      </c>
      <c r="E113" s="17" t="str">
        <f>"%{(" &amp; tokens!$E$40 &amp;")&amp;&amp;(" &amp; tokens!$E$23 &amp;")&amp;&amp;(" &amp; tokens!$E$29 &amp; ")}%"</f>
        <v>%{(1209)&amp;&amp;(1100)&amp;&amp;(1106)}%</v>
      </c>
      <c r="F113" s="17" t="s">
        <v>61</v>
      </c>
      <c r="G113" s="17"/>
    </row>
    <row r="114" spans="1:7" s="1" customFormat="1" x14ac:dyDescent="0.25">
      <c r="A114" s="1">
        <v>107</v>
      </c>
      <c r="B114" s="1" t="s">
        <v>1</v>
      </c>
      <c r="C114" s="1" t="str">
        <f t="shared" si="2"/>
        <v>%{(1209)&amp;&amp;(1100)&amp;&amp;(1107)}%context_save_core_status</v>
      </c>
      <c r="E114" s="17" t="str">
        <f>"%{(" &amp; tokens!$E$40 &amp;")&amp;&amp;(" &amp; tokens!$E$23 &amp;")&amp;&amp;(" &amp; tokens!$E$30 &amp; ")}%"</f>
        <v>%{(1209)&amp;&amp;(1100)&amp;&amp;(1107)}%</v>
      </c>
      <c r="F114" s="17" t="s">
        <v>60</v>
      </c>
      <c r="G114" s="17"/>
    </row>
    <row r="115" spans="1:7" s="1" customFormat="1" x14ac:dyDescent="0.25">
      <c r="A115" s="1">
        <v>108</v>
      </c>
      <c r="B115" s="1" t="s">
        <v>1</v>
      </c>
      <c r="C115" s="1" t="str">
        <f t="shared" si="2"/>
        <v>%{(1209)&amp;&amp;(1200)&amp;&amp;(1202)}%core_config</v>
      </c>
      <c r="E115" s="17" t="str">
        <f>"%{(" &amp; tokens!$E$40 &amp;")&amp;&amp;(" &amp; tokens!$E$31 &amp;")&amp;&amp;(" &amp; tokens!$E$33 &amp; ")}%"</f>
        <v>%{(1209)&amp;&amp;(1200)&amp;&amp;(1202)}%</v>
      </c>
      <c r="F115" s="17" t="s">
        <v>59</v>
      </c>
      <c r="G115" s="17"/>
    </row>
    <row r="116" spans="1:7" s="1" customFormat="1" x14ac:dyDescent="0.25">
      <c r="A116" s="1">
        <v>109</v>
      </c>
      <c r="B116" s="1" t="s">
        <v>1</v>
      </c>
      <c r="C116" s="1" t="str">
        <f t="shared" si="2"/>
        <v>%{(1209)}%comp_read_input</v>
      </c>
      <c r="E116" s="17" t="str">
        <f>"%{(" &amp; tokens!$E$40 &amp;")}%"</f>
        <v>%{(1209)}%</v>
      </c>
      <c r="F116" s="17" t="s">
        <v>53</v>
      </c>
      <c r="G116" s="17"/>
    </row>
    <row r="117" spans="1:7" s="1" customFormat="1" x14ac:dyDescent="0.25">
      <c r="A117" s="1">
        <v>110</v>
      </c>
      <c r="B117" s="1" t="s">
        <v>1</v>
      </c>
      <c r="C117" s="1" t="str">
        <f t="shared" si="2"/>
        <v>%{(1209)&amp;&amp;(1400)&amp;&amp;(1401)}%shadow_copy_control_input</v>
      </c>
      <c r="E117" s="17" t="str">
        <f>"%{(" &amp; tokens!$E$40 &amp;")&amp;&amp;(" &amp; tokens!$E$44 &amp;")&amp;&amp;(" &amp; tokens!$E$45 &amp; ")}%"</f>
        <v>%{(1209)&amp;&amp;(1400)&amp;&amp;(1401)}%</v>
      </c>
      <c r="F117" s="17" t="s">
        <v>52</v>
      </c>
      <c r="G117" s="17"/>
    </row>
    <row r="118" spans="1:7" s="1" customFormat="1" x14ac:dyDescent="0.25">
      <c r="A118" s="1">
        <v>111</v>
      </c>
      <c r="B118" s="1" t="s">
        <v>1</v>
      </c>
      <c r="C118" s="1" t="str">
        <f t="shared" si="2"/>
        <v>%{(1209)}%comp_get_error</v>
      </c>
      <c r="E118" s="17" t="str">
        <f>"%{(" &amp; tokens!$E$40 &amp;")}%"</f>
        <v>%{(1209)}%</v>
      </c>
      <c r="F118" s="17" t="s">
        <v>51</v>
      </c>
      <c r="G118" s="17"/>
    </row>
    <row r="119" spans="1:7" s="1" customFormat="1" x14ac:dyDescent="0.25">
      <c r="A119" s="1">
        <v>112</v>
      </c>
      <c r="B119" s="1" t="s">
        <v>1</v>
      </c>
      <c r="C119" s="1" t="str">
        <f t="shared" si="2"/>
        <v>%{(1209)&amp;&amp;(1600)&amp;&amp;(1601)}%comp_zero_input</v>
      </c>
      <c r="E119" s="17" t="str">
        <f>"%{(" &amp; tokens!$E$40 &amp;")&amp;&amp;(" &amp; tokens!$E$54 &amp;")&amp;&amp;(" &amp; tokens!$E$55 &amp; ")}%"</f>
        <v>%{(1209)&amp;&amp;(1600)&amp;&amp;(1601)}%</v>
      </c>
      <c r="F119" s="17" t="s">
        <v>50</v>
      </c>
      <c r="G119" s="17"/>
    </row>
    <row r="120" spans="1:7" s="1" customFormat="1" x14ac:dyDescent="0.25">
      <c r="A120" s="1">
        <v>113</v>
      </c>
      <c r="B120" s="1" t="s">
        <v>1</v>
      </c>
      <c r="C120" s="1" t="str">
        <f t="shared" si="2"/>
        <v>%{(1209)&amp;&amp;(1600)&amp;&amp;(1602)}%comp_invert_input</v>
      </c>
      <c r="E120" s="17" t="str">
        <f>"%{(" &amp; tokens!$E$40 &amp;")&amp;&amp;(" &amp; tokens!$E$54 &amp;")&amp;&amp;(" &amp; tokens!$E$56 &amp; ")}%"</f>
        <v>%{(1209)&amp;&amp;(1600)&amp;&amp;(1602)}%</v>
      </c>
      <c r="F120" s="17" t="s">
        <v>49</v>
      </c>
      <c r="G120" s="17"/>
    </row>
    <row r="121" spans="1:7" s="1" customFormat="1" x14ac:dyDescent="0.25">
      <c r="A121" s="1">
        <v>114</v>
      </c>
      <c r="B121" s="1" t="s">
        <v>1</v>
      </c>
      <c r="C121" s="1" t="str">
        <f t="shared" si="2"/>
        <v>%{(1209)&amp;&amp;(1200)&amp;&amp;(1205)}%comp_norm_error</v>
      </c>
      <c r="E121" s="17" t="str">
        <f>"%{(" &amp; tokens!$E$40 &amp;")&amp;&amp;(" &amp; tokens!$E$31 &amp;")&amp;&amp;(" &amp; tokens!$E$36 &amp; ")}%"</f>
        <v>%{(1209)&amp;&amp;(1200)&amp;&amp;(1205)}%</v>
      </c>
      <c r="F121" s="17" t="s">
        <v>48</v>
      </c>
      <c r="G121" s="17"/>
    </row>
    <row r="122" spans="1:7" s="1" customFormat="1" x14ac:dyDescent="0.25">
      <c r="A122" s="1">
        <v>115</v>
      </c>
      <c r="B122" s="1" t="s">
        <v>1</v>
      </c>
      <c r="C122" s="1" t="str">
        <f t="shared" si="2"/>
        <v>%{(1209)&amp;&amp;(1400)&amp;&amp;(1402)}%shadow_copy_error_input</v>
      </c>
      <c r="E122" s="17" t="str">
        <f>"%{(" &amp; tokens!$E$40 &amp;")&amp;&amp;(" &amp; tokens!$E$44 &amp;")&amp;&amp;(" &amp; tokens!$E$46 &amp; ")}%"</f>
        <v>%{(1209)&amp;&amp;(1400)&amp;&amp;(1402)}%</v>
      </c>
      <c r="F122" s="17" t="s">
        <v>47</v>
      </c>
      <c r="G122" s="17"/>
    </row>
    <row r="123" spans="1:7" s="1" customFormat="1" x14ac:dyDescent="0.25">
      <c r="A123" s="1">
        <v>116</v>
      </c>
      <c r="B123" s="1" t="s">
        <v>1</v>
      </c>
      <c r="C123" s="1" t="str">
        <f t="shared" si="2"/>
        <v>%{(1209)}%pterm_comp_load_gain_factor</v>
      </c>
      <c r="E123" s="17" t="str">
        <f>"%{(" &amp; tokens!$E$40 &amp;")}%"</f>
        <v>%{(1209)}%</v>
      </c>
      <c r="F123" s="17" t="s">
        <v>959</v>
      </c>
      <c r="G123" s="17"/>
    </row>
    <row r="124" spans="1:7" s="1" customFormat="1" x14ac:dyDescent="0.25">
      <c r="A124" s="1">
        <v>117</v>
      </c>
      <c r="B124" s="1" t="s">
        <v>1</v>
      </c>
      <c r="C124" s="1" t="str">
        <f t="shared" si="2"/>
        <v>%{(1209)}%pterm_comp_exec_pterm</v>
      </c>
      <c r="E124" s="17" t="str">
        <f>"%{(" &amp; tokens!$E$40 &amp;")}%"</f>
        <v>%{(1209)}%</v>
      </c>
      <c r="F124" s="17" t="s">
        <v>958</v>
      </c>
      <c r="G124" s="17"/>
    </row>
    <row r="125" spans="1:7" s="1" customFormat="1" x14ac:dyDescent="0.25">
      <c r="A125" s="1">
        <v>118</v>
      </c>
      <c r="B125" s="1" t="s">
        <v>1</v>
      </c>
      <c r="C125" s="1" t="str">
        <f t="shared" si="2"/>
        <v>%{(1209)&amp;&amp;(1500)}%anti_windup</v>
      </c>
      <c r="E125" s="17" t="str">
        <f>"%{(" &amp; tokens!$E$40 &amp;")&amp;&amp;(" &amp; tokens!$E$48 &amp;")}%"</f>
        <v>%{(1209)&amp;&amp;(1500)}%</v>
      </c>
      <c r="F125" s="17" t="s">
        <v>39</v>
      </c>
      <c r="G125" s="17"/>
    </row>
    <row r="126" spans="1:7" s="1" customFormat="1" x14ac:dyDescent="0.25">
      <c r="A126" s="1">
        <v>119</v>
      </c>
      <c r="B126" s="1" t="s">
        <v>1</v>
      </c>
      <c r="C126" s="1" t="str">
        <f t="shared" si="2"/>
        <v>%{(1209)&amp;&amp;(1500)&amp;&amp;(1501)}%anti_windup_max_start</v>
      </c>
      <c r="E126" s="17" t="str">
        <f>"%{(" &amp; tokens!$E$40 &amp;")&amp;&amp;(" &amp; tokens!$E$48 &amp;")&amp;&amp;(" &amp; tokens!$E$49 &amp;")}%"</f>
        <v>%{(1209)&amp;&amp;(1500)&amp;&amp;(1501)}%</v>
      </c>
      <c r="F126" s="17" t="s">
        <v>1044</v>
      </c>
      <c r="G126" s="17"/>
    </row>
    <row r="127" spans="1:7" s="1" customFormat="1" x14ac:dyDescent="0.25">
      <c r="A127" s="1">
        <v>120</v>
      </c>
      <c r="B127" s="1" t="s">
        <v>1</v>
      </c>
      <c r="C127" s="1" t="str">
        <f t="shared" si="2"/>
        <v>%{(1209)&amp;&amp;(1500)&amp;&amp;(1501)}%%{(1502)||(1505)}%anti_windup_max_options_start_pterm</v>
      </c>
      <c r="E127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27" s="17" t="s">
        <v>1084</v>
      </c>
      <c r="G127" s="17"/>
    </row>
    <row r="128" spans="1:7" s="1" customFormat="1" x14ac:dyDescent="0.25">
      <c r="A128" s="1">
        <v>121</v>
      </c>
      <c r="B128" s="1" t="s">
        <v>1</v>
      </c>
      <c r="C128" s="1" t="str">
        <f t="shared" si="2"/>
        <v>%{(1209)&amp;&amp;(1500)&amp;&amp;(1501)&amp;&amp;(1502)}%anti_windup_max_clear_status_flag</v>
      </c>
      <c r="E128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28" s="17" t="s">
        <v>1046</v>
      </c>
      <c r="G128" s="17"/>
    </row>
    <row r="129" spans="1:7" s="1" customFormat="1" x14ac:dyDescent="0.25">
      <c r="A129" s="1">
        <v>122</v>
      </c>
      <c r="B129" s="1" t="s">
        <v>1</v>
      </c>
      <c r="C129" s="1" t="str">
        <f t="shared" si="2"/>
        <v>%{(1209)&amp;&amp;(1500)&amp;&amp;(1501)}%%{(1502)||(1505)}%anti_windup_max_options_override_bypass_pterm</v>
      </c>
      <c r="E129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29" s="17" t="s">
        <v>1083</v>
      </c>
      <c r="G129" s="17"/>
    </row>
    <row r="130" spans="1:7" s="1" customFormat="1" x14ac:dyDescent="0.25">
      <c r="A130" s="1">
        <v>123</v>
      </c>
      <c r="B130" s="1" t="s">
        <v>1</v>
      </c>
      <c r="C130" s="1" t="str">
        <f t="shared" si="2"/>
        <v>%{(1209)&amp;&amp;(1500)&amp;&amp;(1501)}%%{(1502)||(1505)}%anti_windup_max_options_override_start_pterm</v>
      </c>
      <c r="E130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0" s="17" t="s">
        <v>1082</v>
      </c>
      <c r="G130" s="17"/>
    </row>
    <row r="131" spans="1:7" s="1" customFormat="1" x14ac:dyDescent="0.25">
      <c r="A131" s="1">
        <v>124</v>
      </c>
      <c r="B131" s="1" t="s">
        <v>1</v>
      </c>
      <c r="C131" s="1" t="str">
        <f t="shared" si="2"/>
        <v>%{(1209)&amp;&amp;(1500)&amp;&amp;(1501)}%anti_windup_max_override</v>
      </c>
      <c r="E131" s="17" t="str">
        <f>"%{(" &amp; tokens!$E$40 &amp;")&amp;&amp;(" &amp; tokens!$E$48 &amp;")&amp;&amp;(" &amp; tokens!$E$49 &amp;")}%"</f>
        <v>%{(1209)&amp;&amp;(1500)&amp;&amp;(1501)}%</v>
      </c>
      <c r="F131" s="17" t="s">
        <v>1049</v>
      </c>
      <c r="G131" s="17"/>
    </row>
    <row r="132" spans="1:7" s="1" customFormat="1" x14ac:dyDescent="0.25">
      <c r="A132" s="1">
        <v>125</v>
      </c>
      <c r="B132" s="1" t="s">
        <v>1</v>
      </c>
      <c r="C132" s="1" t="str">
        <f t="shared" si="2"/>
        <v>%{(1209)&amp;&amp;(1500)&amp;&amp;(1501)&amp;&amp;(1505)}%anti_windup_soft_desaturation</v>
      </c>
      <c r="E132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2" s="17" t="s">
        <v>1050</v>
      </c>
      <c r="G132" s="17"/>
    </row>
    <row r="133" spans="1:7" s="1" customFormat="1" x14ac:dyDescent="0.25">
      <c r="A133" s="1">
        <v>126</v>
      </c>
      <c r="B133" s="1" t="s">
        <v>1</v>
      </c>
      <c r="C133" s="1" t="str">
        <f t="shared" si="2"/>
        <v>%{(1209)&amp;&amp;(1500)&amp;&amp;(1501)&amp;&amp;(1502)}%anti_windup_max_set_status_flag</v>
      </c>
      <c r="E133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3" s="17" t="s">
        <v>1051</v>
      </c>
      <c r="G133" s="17"/>
    </row>
    <row r="134" spans="1:7" s="1" customFormat="1" x14ac:dyDescent="0.25">
      <c r="A134" s="1">
        <v>127</v>
      </c>
      <c r="B134" s="1" t="s">
        <v>1</v>
      </c>
      <c r="C134" s="1" t="str">
        <f t="shared" si="2"/>
        <v>%{(1209)&amp;&amp;(1500)&amp;&amp;(1501)}%anti_windup_max_options_end_pterm</v>
      </c>
      <c r="E134" s="17" t="str">
        <f>"%{(" &amp; tokens!$E$40 &amp;")&amp;&amp;(" &amp; tokens!$E$48 &amp;")&amp;&amp;(" &amp; tokens!$E$49 &amp;")}%"</f>
        <v>%{(1209)&amp;&amp;(1500)&amp;&amp;(1501)}%</v>
      </c>
      <c r="F134" s="17" t="s">
        <v>1081</v>
      </c>
      <c r="G134" s="17"/>
    </row>
    <row r="135" spans="1:7" s="1" customFormat="1" x14ac:dyDescent="0.25">
      <c r="A135" s="1">
        <v>128</v>
      </c>
      <c r="B135" s="1" t="s">
        <v>1</v>
      </c>
      <c r="C135" s="1" t="str">
        <f t="shared" si="2"/>
        <v>%{(1209)&amp;&amp;(1500)&amp;&amp;(1503)}%anti_windup_min_start</v>
      </c>
      <c r="E135" s="17" t="str">
        <f>"%{(" &amp; tokens!$E$40 &amp;")&amp;&amp;(" &amp; tokens!$E$48 &amp;")&amp;&amp;(" &amp; tokens!$E$51 &amp;")}%"</f>
        <v>%{(1209)&amp;&amp;(1500)&amp;&amp;(1503)}%</v>
      </c>
      <c r="F135" s="17" t="s">
        <v>1060</v>
      </c>
      <c r="G135" s="17"/>
    </row>
    <row r="136" spans="1:7" s="1" customFormat="1" x14ac:dyDescent="0.25">
      <c r="A136" s="1">
        <v>129</v>
      </c>
      <c r="B136" s="1" t="s">
        <v>1</v>
      </c>
      <c r="C136" s="1" t="str">
        <f t="shared" si="2"/>
        <v>%{(1209)&amp;&amp;(1500)&amp;&amp;(1503)}%%{(1504)||(1505)}%anti_windup_min_options_start_pterm</v>
      </c>
      <c r="E136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36" s="17" t="s">
        <v>1080</v>
      </c>
      <c r="G136" s="17"/>
    </row>
    <row r="137" spans="1:7" s="1" customFormat="1" x14ac:dyDescent="0.25">
      <c r="A137" s="1">
        <v>130</v>
      </c>
      <c r="B137" s="1" t="s">
        <v>1</v>
      </c>
      <c r="C137" s="1" t="str">
        <f t="shared" si="2"/>
        <v>%{(1209)&amp;&amp;(1500)&amp;&amp;(1503)&amp;&amp;(1504)}%anti_windup_min_clear_status_flag</v>
      </c>
      <c r="E137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37" s="17" t="s">
        <v>1053</v>
      </c>
      <c r="G137" s="17"/>
    </row>
    <row r="138" spans="1:7" s="1" customFormat="1" x14ac:dyDescent="0.25">
      <c r="A138" s="1">
        <v>131</v>
      </c>
      <c r="B138" s="1" t="s">
        <v>1</v>
      </c>
      <c r="C138" s="1" t="str">
        <f t="shared" si="2"/>
        <v>%{(1209)&amp;&amp;(1500)&amp;&amp;(1503)}%%{(1504)||(1505)}%anti_windup_min_options_override_bypass_pterm</v>
      </c>
      <c r="E138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38" s="17" t="s">
        <v>1079</v>
      </c>
      <c r="G138" s="17"/>
    </row>
    <row r="139" spans="1:7" s="1" customFormat="1" x14ac:dyDescent="0.25">
      <c r="A139" s="1">
        <v>132</v>
      </c>
      <c r="B139" s="1" t="s">
        <v>1</v>
      </c>
      <c r="C139" s="1" t="str">
        <f t="shared" si="2"/>
        <v>%{(1209)&amp;&amp;(1500)&amp;&amp;(1503)}%%{(1504)||(1505)}%anti_windup_min_options_override_start_pterm</v>
      </c>
      <c r="E139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39" s="17" t="s">
        <v>1078</v>
      </c>
      <c r="G139" s="17"/>
    </row>
    <row r="140" spans="1:7" s="1" customFormat="1" x14ac:dyDescent="0.25">
      <c r="A140" s="1">
        <v>133</v>
      </c>
      <c r="B140" s="1" t="s">
        <v>1</v>
      </c>
      <c r="C140" s="1" t="str">
        <f t="shared" si="2"/>
        <v>%{(1209)&amp;&amp;(1500)&amp;&amp;(1503)}%anti_windup_min_override</v>
      </c>
      <c r="E140" s="17" t="str">
        <f>"%{(" &amp; tokens!$E$40 &amp;")&amp;&amp;(" &amp; tokens!$E$48 &amp;")&amp;&amp;(" &amp; tokens!$E$51 &amp;")}%"</f>
        <v>%{(1209)&amp;&amp;(1500)&amp;&amp;(1503)}%</v>
      </c>
      <c r="F140" s="17" t="s">
        <v>1057</v>
      </c>
      <c r="G140" s="17"/>
    </row>
    <row r="141" spans="1:7" s="1" customFormat="1" x14ac:dyDescent="0.25">
      <c r="A141" s="1">
        <v>134</v>
      </c>
      <c r="B141" s="1" t="s">
        <v>1</v>
      </c>
      <c r="C141" s="1" t="str">
        <f t="shared" si="2"/>
        <v>%{(1209)&amp;&amp;(1500)&amp;&amp;(1503)&amp;&amp;(1505)}%anti_windup_soft_desaturation</v>
      </c>
      <c r="E141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1" s="17" t="s">
        <v>1050</v>
      </c>
      <c r="G141" s="17"/>
    </row>
    <row r="142" spans="1:7" s="1" customFormat="1" x14ac:dyDescent="0.25">
      <c r="A142" s="1">
        <v>135</v>
      </c>
      <c r="B142" s="1" t="s">
        <v>1</v>
      </c>
      <c r="C142" s="1" t="str">
        <f t="shared" si="2"/>
        <v>%{(1209)&amp;&amp;(1500)&amp;&amp;(1503)&amp;&amp;(1504)}%anti_windup_min_set_status_flag</v>
      </c>
      <c r="E142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2" s="17" t="s">
        <v>1058</v>
      </c>
      <c r="G142" s="17"/>
    </row>
    <row r="143" spans="1:7" s="1" customFormat="1" x14ac:dyDescent="0.25">
      <c r="A143" s="1">
        <v>136</v>
      </c>
      <c r="B143" s="1" t="s">
        <v>1</v>
      </c>
      <c r="C143" s="1" t="str">
        <f t="shared" si="2"/>
        <v>%{(1209)&amp;&amp;(1500)&amp;&amp;(1503)}%anti_windup_min_options_end_pterm</v>
      </c>
      <c r="E143" s="17" t="str">
        <f>"%{(" &amp; tokens!$E$40 &amp;")&amp;&amp;(" &amp; tokens!$E$48 &amp;")&amp;&amp;(" &amp; tokens!$E$51 &amp;")}%"</f>
        <v>%{(1209)&amp;&amp;(1500)&amp;&amp;(1503)}%</v>
      </c>
      <c r="F143" s="17" t="s">
        <v>1069</v>
      </c>
      <c r="G143" s="17"/>
    </row>
    <row r="144" spans="1:7" s="1" customFormat="1" x14ac:dyDescent="0.25">
      <c r="A144" s="1">
        <v>137</v>
      </c>
      <c r="B144" s="1" t="s">
        <v>1</v>
      </c>
      <c r="C144" s="1" t="str">
        <f t="shared" si="2"/>
        <v>%{(1209)}%comp_writeback</v>
      </c>
      <c r="E144" s="17" t="str">
        <f>"%{(" &amp; tokens!$E$40 &amp;")}%"</f>
        <v>%{(1209)}%</v>
      </c>
      <c r="F144" s="17" t="s">
        <v>36</v>
      </c>
      <c r="G144" s="17"/>
    </row>
    <row r="145" spans="1:7" s="1" customFormat="1" x14ac:dyDescent="0.25">
      <c r="A145" s="1">
        <v>138</v>
      </c>
      <c r="B145" s="1" t="s">
        <v>1</v>
      </c>
      <c r="C145" s="1" t="str">
        <f t="shared" si="2"/>
        <v>%{(1209)&amp;&amp;(1400)&amp;&amp;(1403)}%shadow_copy_control_output</v>
      </c>
      <c r="E145" s="17" t="str">
        <f>"%{(" &amp; tokens!$E$40 &amp;")&amp;&amp;(" &amp; tokens!$E$44 &amp;")&amp;&amp;(" &amp; tokens!$E$47 &amp; ")}%"</f>
        <v>%{(1209)&amp;&amp;(1400)&amp;&amp;(1403)}%</v>
      </c>
      <c r="F145" s="17" t="s">
        <v>35</v>
      </c>
      <c r="G145" s="17"/>
    </row>
    <row r="146" spans="1:7" s="1" customFormat="1" x14ac:dyDescent="0.25">
      <c r="A146" s="1">
        <v>139</v>
      </c>
      <c r="B146" s="1" t="s">
        <v>1</v>
      </c>
      <c r="C146" s="1" t="str">
        <f t="shared" si="2"/>
        <v>%{(1209)&amp;&amp;(1200)&amp;&amp;(1206)}%adc_trigger_a_placement</v>
      </c>
      <c r="E146" s="17" t="str">
        <f>"%{(" &amp; tokens!$E$40 &amp;")&amp;&amp;(" &amp; tokens!$E$31 &amp;")&amp;&amp;(" &amp; tokens!$E$37 &amp; ")}%"</f>
        <v>%{(1209)&amp;&amp;(1200)&amp;&amp;(1206)}%</v>
      </c>
      <c r="F146" s="17" t="s">
        <v>34</v>
      </c>
      <c r="G146" s="17"/>
    </row>
    <row r="147" spans="1:7" s="1" customFormat="1" x14ac:dyDescent="0.25">
      <c r="A147" s="1">
        <v>140</v>
      </c>
      <c r="B147" s="1" t="s">
        <v>1</v>
      </c>
      <c r="C147" s="1" t="str">
        <f t="shared" si="2"/>
        <v>%{(1209)&amp;&amp;(1200)&amp;&amp;(1207)}%adc_trigger_b_placement</v>
      </c>
      <c r="E147" s="17" t="str">
        <f>"%{(" &amp; tokens!$E$40 &amp;")&amp;&amp;(" &amp; tokens!$E$31 &amp;")&amp;&amp;(" &amp; tokens!$E$38 &amp; ")}%"</f>
        <v>%{(1209)&amp;&amp;(1200)&amp;&amp;(1207)}%</v>
      </c>
      <c r="F147" s="17" t="s">
        <v>33</v>
      </c>
      <c r="G147" s="17"/>
    </row>
    <row r="148" spans="1:7" s="1" customFormat="1" x14ac:dyDescent="0.25">
      <c r="A148" s="1">
        <v>141</v>
      </c>
      <c r="B148" s="1" t="s">
        <v>1</v>
      </c>
      <c r="C148" s="1" t="str">
        <f t="shared" si="2"/>
        <v>%{(1209)}%update_status_bitfield</v>
      </c>
      <c r="E148" s="17" t="str">
        <f>"%{(" &amp; tokens!$E$40 &amp;")}%"</f>
        <v>%{(1209)}%</v>
      </c>
      <c r="F148" s="17" t="s">
        <v>28</v>
      </c>
      <c r="G148" s="17"/>
    </row>
    <row r="149" spans="1:7" s="1" customFormat="1" x14ac:dyDescent="0.25">
      <c r="A149" s="1">
        <v>142</v>
      </c>
      <c r="B149" s="1" t="s">
        <v>1</v>
      </c>
      <c r="C149" s="1" t="str">
        <f t="shared" si="2"/>
        <v>%{(1209)&amp;&amp;(1100)}%context_restore</v>
      </c>
      <c r="E149" s="17" t="str">
        <f>"%{(" &amp; tokens!$E$40 &amp;")&amp;&amp;(" &amp; tokens!$E$23 &amp;")}%"</f>
        <v>%{(1209)&amp;&amp;(1100)}%</v>
      </c>
      <c r="F149" s="17" t="s">
        <v>19</v>
      </c>
      <c r="G149" s="17"/>
    </row>
    <row r="150" spans="1:7" s="1" customFormat="1" x14ac:dyDescent="0.25">
      <c r="A150" s="1">
        <v>143</v>
      </c>
      <c r="B150" s="1" t="s">
        <v>1</v>
      </c>
      <c r="C150" s="1" t="str">
        <f t="shared" si="2"/>
        <v>%{(1209)&amp;&amp;(1100)&amp;&amp;(1102)}%context_restore_mac_registers</v>
      </c>
      <c r="E150" s="17" t="str">
        <f>"%{(" &amp; tokens!$E$40 &amp;")&amp;&amp;(" &amp; tokens!$E$23 &amp;")&amp;&amp;(" &amp; tokens!$E$25 &amp; ")}%"</f>
        <v>%{(1209)&amp;&amp;(1100)&amp;&amp;(1102)}%</v>
      </c>
      <c r="F150" s="17" t="s">
        <v>27</v>
      </c>
      <c r="G150" s="17"/>
    </row>
    <row r="151" spans="1:7" s="1" customFormat="1" x14ac:dyDescent="0.25">
      <c r="A151" s="1">
        <v>144</v>
      </c>
      <c r="B151" s="1" t="s">
        <v>1</v>
      </c>
      <c r="C151" s="1" t="str">
        <f t="shared" si="2"/>
        <v>%{(1209)&amp;&amp;(1100)&amp;&amp;(1103)&amp;&amp;(1104)}%context_restore_accumulator_a</v>
      </c>
      <c r="E151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1" s="17" t="s">
        <v>26</v>
      </c>
      <c r="G151" s="17"/>
    </row>
    <row r="152" spans="1:7" s="1" customFormat="1" x14ac:dyDescent="0.25">
      <c r="A152" s="1">
        <v>145</v>
      </c>
      <c r="B152" s="1" t="s">
        <v>1</v>
      </c>
      <c r="C152" s="1" t="str">
        <f t="shared" si="2"/>
        <v>%{(1209)&amp;&amp;(1100)&amp;&amp;(1103)&amp;&amp;(1105)}%context_restore_accumulator_b</v>
      </c>
      <c r="E152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2" s="17" t="s">
        <v>25</v>
      </c>
      <c r="G152" s="17"/>
    </row>
    <row r="153" spans="1:7" s="1" customFormat="1" x14ac:dyDescent="0.25">
      <c r="A153" s="1">
        <v>146</v>
      </c>
      <c r="B153" s="1" t="s">
        <v>1</v>
      </c>
      <c r="C153" s="1" t="str">
        <f t="shared" si="2"/>
        <v>%{(1209)&amp;&amp;(1100)&amp;&amp;(1106)}%context_restore_core_config</v>
      </c>
      <c r="E153" s="17" t="str">
        <f>"%{(" &amp; tokens!$E$40 &amp;")&amp;&amp;(" &amp; tokens!$E$23 &amp;")&amp;&amp;(" &amp; tokens!$E$29 &amp; ")}%"</f>
        <v>%{(1209)&amp;&amp;(1100)&amp;&amp;(1106)}%</v>
      </c>
      <c r="F153" s="17" t="s">
        <v>24</v>
      </c>
      <c r="G153" s="17"/>
    </row>
    <row r="154" spans="1:7" s="1" customFormat="1" x14ac:dyDescent="0.25">
      <c r="A154" s="1">
        <v>147</v>
      </c>
      <c r="B154" s="1" t="s">
        <v>1</v>
      </c>
      <c r="C154" s="1" t="str">
        <f t="shared" si="2"/>
        <v>%{(1209)&amp;&amp;(1100)&amp;&amp;(1107)}%context_restore_core_status</v>
      </c>
      <c r="E154" s="17" t="str">
        <f>"%{(" &amp; tokens!$E$40 &amp;")&amp;&amp;(" &amp; tokens!$E$23 &amp;")&amp;&amp;(" &amp; tokens!$E$30 &amp; ")}%"</f>
        <v>%{(1209)&amp;&amp;(1100)&amp;&amp;(1107)}%</v>
      </c>
      <c r="F154" s="17" t="s">
        <v>23</v>
      </c>
      <c r="G154" s="17"/>
    </row>
    <row r="155" spans="1:7" s="1" customFormat="1" x14ac:dyDescent="0.25">
      <c r="A155" s="1">
        <v>148</v>
      </c>
      <c r="B155" s="1" t="s">
        <v>1</v>
      </c>
      <c r="C155" s="1" t="str">
        <f t="shared" si="2"/>
        <v>%{(1209)&amp;&amp;(1200)&amp;&amp;(1203)&amp;&amp;(!1204)}%enable_disable_end_pterm</v>
      </c>
      <c r="E155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55" s="17" t="s">
        <v>975</v>
      </c>
      <c r="G155" s="17"/>
    </row>
    <row r="156" spans="1:7" s="1" customFormat="1" x14ac:dyDescent="0.25">
      <c r="A156" s="1">
        <v>149</v>
      </c>
      <c r="B156" s="1" t="s">
        <v>1</v>
      </c>
      <c r="C156" s="1" t="str">
        <f t="shared" si="2"/>
        <v>%{(1209)&amp;&amp;(1200)&amp;&amp;(1203)&amp;&amp;(1204)}%enable_disable_end_dummy_read_pterm</v>
      </c>
      <c r="E156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56" s="17" t="s">
        <v>974</v>
      </c>
      <c r="G156" s="17"/>
    </row>
    <row r="157" spans="1:7" s="1" customFormat="1" x14ac:dyDescent="0.25">
      <c r="A157" s="1">
        <v>150</v>
      </c>
      <c r="B157" s="1" t="s">
        <v>1</v>
      </c>
      <c r="C157" s="1" t="str">
        <f t="shared" si="2"/>
        <v>%{(1209)&amp;&amp;(1200)&amp;&amp;(1203)&amp;&amp;(1204)&amp;&amp;(1400)&amp;&amp;(1401)}%shadow_copy_control_input</v>
      </c>
      <c r="E157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57" s="17" t="s">
        <v>52</v>
      </c>
      <c r="G157" s="17"/>
    </row>
    <row r="158" spans="1:7" s="1" customFormat="1" x14ac:dyDescent="0.25">
      <c r="A158" s="1">
        <v>151</v>
      </c>
      <c r="B158" s="1" t="s">
        <v>1</v>
      </c>
      <c r="C158" s="1" t="str">
        <f t="shared" si="2"/>
        <v>%{(1209)&amp;&amp;(1200)&amp;&amp;(1203)&amp;&amp;(1204)}%enable_disable_end_dummy_read_end_pterm</v>
      </c>
      <c r="E158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58" s="17" t="s">
        <v>976</v>
      </c>
      <c r="G158" s="17"/>
    </row>
    <row r="159" spans="1:7" s="1" customFormat="1" x14ac:dyDescent="0.25">
      <c r="A159" s="1">
        <v>152</v>
      </c>
      <c r="B159" s="1" t="s">
        <v>1</v>
      </c>
      <c r="C159" s="1" t="str">
        <f t="shared" si="2"/>
        <v>%{(1209)&amp;&amp;(1208)}%cascaded_function_call</v>
      </c>
      <c r="E159" s="17" t="str">
        <f>"%{(" &amp; tokens!$E$40 &amp;")&amp;&amp;(" &amp; tokens!$E$39 &amp;")}%"</f>
        <v>%{(1209)&amp;&amp;(1208)}%</v>
      </c>
      <c r="F159" s="17" t="s">
        <v>29</v>
      </c>
      <c r="G159" s="17"/>
    </row>
    <row r="160" spans="1:7" s="1" customFormat="1" x14ac:dyDescent="0.25">
      <c r="A160" s="1">
        <v>153</v>
      </c>
      <c r="B160" s="1" t="s">
        <v>1</v>
      </c>
      <c r="C160" s="1" t="str">
        <f t="shared" si="2"/>
        <v>%{(1209)&amp;&amp;(1100)}%context_restore</v>
      </c>
      <c r="E160" s="17" t="str">
        <f>"%{(" &amp; tokens!$E$40 &amp;")&amp;&amp;(" &amp; tokens!$E$23 &amp;")}%"</f>
        <v>%{(1209)&amp;&amp;(1100)}%</v>
      </c>
      <c r="F160" s="17" t="s">
        <v>19</v>
      </c>
      <c r="G160" s="17"/>
    </row>
    <row r="161" spans="1:7" s="1" customFormat="1" x14ac:dyDescent="0.25">
      <c r="A161" s="1">
        <v>154</v>
      </c>
      <c r="B161" s="1" t="s">
        <v>1</v>
      </c>
      <c r="C161" s="1" t="str">
        <f t="shared" si="2"/>
        <v>%{(1209)&amp;&amp;(1100)&amp;&amp;(1101)}%context_restore_shadow</v>
      </c>
      <c r="E161" s="17" t="str">
        <f>"%{(" &amp; tokens!$E$40 &amp;")&amp;&amp;(" &amp; tokens!$E$23 &amp;")&amp;&amp;(" &amp; tokens!$E$24 &amp; ")}%"</f>
        <v>%{(1209)&amp;&amp;(1100)&amp;&amp;(1101)}%</v>
      </c>
      <c r="F161" s="17" t="s">
        <v>18</v>
      </c>
      <c r="G161" s="17"/>
    </row>
    <row r="162" spans="1:7" s="1" customFormat="1" x14ac:dyDescent="0.25">
      <c r="A162" s="1">
        <v>155</v>
      </c>
      <c r="B162" s="1" t="s">
        <v>1</v>
      </c>
      <c r="C162" s="1" t="str">
        <f t="shared" si="2"/>
        <v>%{(1209)&amp;&amp;(1100)}%context_restore_status_word_wreg</v>
      </c>
      <c r="E162" s="17" t="str">
        <f>"%{(" &amp; tokens!$E$40 &amp;")&amp;&amp;(" &amp; tokens!$E$23 &amp;")}%"</f>
        <v>%{(1209)&amp;&amp;(1100)}%</v>
      </c>
      <c r="F162" s="17" t="s">
        <v>17</v>
      </c>
      <c r="G162" s="17"/>
    </row>
    <row r="163" spans="1:7" s="1" customFormat="1" x14ac:dyDescent="0.25">
      <c r="A163" s="1">
        <v>156</v>
      </c>
      <c r="B163" s="1" t="s">
        <v>1</v>
      </c>
      <c r="C163" s="1" t="str">
        <f t="shared" si="2"/>
        <v>%{(1209)}%return</v>
      </c>
      <c r="E163" s="17" t="str">
        <f>"%{(" &amp; tokens!$E$40 &amp;")}%"</f>
        <v>%{(1209)}%</v>
      </c>
      <c r="F163" s="17" t="s">
        <v>2</v>
      </c>
      <c r="G163" s="17"/>
    </row>
    <row r="164" spans="1:7" s="1" customFormat="1" ht="15.75" x14ac:dyDescent="0.3">
      <c r="A164" s="1">
        <v>157</v>
      </c>
      <c r="B164" s="1" t="s">
        <v>1</v>
      </c>
      <c r="C164" s="14" t="s">
        <v>0</v>
      </c>
      <c r="E164" s="17"/>
      <c r="F164" s="17" t="s">
        <v>0</v>
      </c>
      <c r="G164" s="17"/>
    </row>
    <row r="165" spans="1:7" s="1" customFormat="1" x14ac:dyDescent="0.25">
      <c r="E165" s="17"/>
      <c r="F165" s="17"/>
      <c r="G165" s="17"/>
    </row>
    <row r="166" spans="1:7" s="1" customFormat="1" x14ac:dyDescent="0.25">
      <c r="E166" s="17"/>
      <c r="F166" s="17"/>
      <c r="G166" s="17"/>
    </row>
    <row r="167" spans="1:7" s="1" customFormat="1" x14ac:dyDescent="0.25">
      <c r="E167" s="17"/>
      <c r="F167" s="17"/>
      <c r="G167" s="17"/>
    </row>
    <row r="168" spans="1:7" s="1" customFormat="1" x14ac:dyDescent="0.25">
      <c r="E168" s="17"/>
      <c r="F168" s="17"/>
      <c r="G168" s="17"/>
    </row>
    <row r="169" spans="1:7" s="1" customFormat="1" x14ac:dyDescent="0.25">
      <c r="E169" s="17"/>
      <c r="F169" s="17"/>
      <c r="G169" s="17"/>
    </row>
    <row r="170" spans="1:7" s="1" customFormat="1" x14ac:dyDescent="0.25">
      <c r="E170" s="17"/>
      <c r="F170" s="17"/>
      <c r="G170" s="17"/>
    </row>
    <row r="171" spans="1:7" s="1" customFormat="1" x14ac:dyDescent="0.25">
      <c r="E171" s="17"/>
      <c r="F171" s="17"/>
      <c r="G171" s="17"/>
    </row>
    <row r="172" spans="1:7" s="1" customFormat="1" x14ac:dyDescent="0.25">
      <c r="E172" s="17"/>
      <c r="F172" s="17"/>
      <c r="G172" s="17"/>
    </row>
    <row r="173" spans="1:7" s="1" customFormat="1" x14ac:dyDescent="0.25">
      <c r="E173" s="17"/>
      <c r="F173" s="17"/>
      <c r="G173" s="17"/>
    </row>
    <row r="174" spans="1:7" s="1" customFormat="1" x14ac:dyDescent="0.25">
      <c r="E174" s="17"/>
      <c r="F174" s="17"/>
      <c r="G174" s="17"/>
    </row>
    <row r="175" spans="1:7" s="1" customFormat="1" x14ac:dyDescent="0.25">
      <c r="E175" s="17"/>
      <c r="F175" s="17"/>
      <c r="G175" s="17"/>
    </row>
    <row r="176" spans="1:7" s="1" customFormat="1" x14ac:dyDescent="0.25">
      <c r="E176" s="17"/>
      <c r="F176" s="17"/>
      <c r="G176" s="17"/>
    </row>
    <row r="177" spans="5:7" s="1" customFormat="1" x14ac:dyDescent="0.25">
      <c r="E177" s="17"/>
      <c r="F177" s="17"/>
      <c r="G177" s="17"/>
    </row>
    <row r="178" spans="5:7" s="1" customFormat="1" x14ac:dyDescent="0.25">
      <c r="E178" s="17"/>
      <c r="F178" s="17"/>
      <c r="G178" s="17"/>
    </row>
    <row r="179" spans="5:7" s="1" customFormat="1" x14ac:dyDescent="0.25">
      <c r="E179" s="17"/>
      <c r="F179" s="17"/>
      <c r="G179" s="17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E55EB-11BE-4ED8-A80E-96CF4D0A2D01}">
  <sheetPr codeName="Sheet3"/>
  <dimension ref="A1:C91"/>
  <sheetViews>
    <sheetView zoomScale="115" zoomScaleNormal="115" workbookViewId="0">
      <selection activeCell="C5" sqref="C5"/>
    </sheetView>
  </sheetViews>
  <sheetFormatPr defaultRowHeight="15" x14ac:dyDescent="0.25"/>
  <cols>
    <col min="1" max="1" width="15.5703125" style="1" customWidth="1"/>
    <col min="2" max="2" width="2.5703125" style="1" bestFit="1" customWidth="1"/>
    <col min="3" max="3" width="64.85546875" style="1" bestFit="1" customWidth="1"/>
  </cols>
  <sheetData>
    <row r="1" spans="1:3" s="7" customFormat="1" ht="15.75" x14ac:dyDescent="0.3">
      <c r="A1" s="5" t="s">
        <v>90</v>
      </c>
      <c r="B1" s="5"/>
      <c r="C1" s="5"/>
    </row>
    <row r="2" spans="1:3" x14ac:dyDescent="0.25">
      <c r="A2" s="1" t="s">
        <v>80</v>
      </c>
    </row>
    <row r="3" spans="1:3" x14ac:dyDescent="0.25">
      <c r="A3" s="1" t="s">
        <v>89</v>
      </c>
    </row>
    <row r="4" spans="1:3" x14ac:dyDescent="0.25">
      <c r="A4" s="1" t="s">
        <v>79</v>
      </c>
      <c r="B4" s="1" t="s">
        <v>1</v>
      </c>
      <c r="C4" s="1" t="s">
        <v>1031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85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88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53</v>
      </c>
    </row>
    <row r="26" spans="1:3" x14ac:dyDescent="0.25">
      <c r="A26" s="1">
        <v>19</v>
      </c>
      <c r="B26" s="1" t="s">
        <v>1</v>
      </c>
      <c r="C26" s="1" t="s">
        <v>52</v>
      </c>
    </row>
    <row r="27" spans="1:3" x14ac:dyDescent="0.25">
      <c r="A27" s="1">
        <v>20</v>
      </c>
      <c r="B27" s="1" t="s">
        <v>1</v>
      </c>
      <c r="C27" s="1" t="s">
        <v>51</v>
      </c>
    </row>
    <row r="28" spans="1:3" x14ac:dyDescent="0.25">
      <c r="A28" s="1">
        <v>21</v>
      </c>
      <c r="B28" s="1" t="s">
        <v>1</v>
      </c>
      <c r="C28" s="1" t="s">
        <v>50</v>
      </c>
    </row>
    <row r="29" spans="1:3" x14ac:dyDescent="0.25">
      <c r="A29" s="1">
        <v>22</v>
      </c>
      <c r="B29" s="1" t="s">
        <v>1</v>
      </c>
      <c r="C29" s="1" t="s">
        <v>49</v>
      </c>
    </row>
    <row r="30" spans="1:3" x14ac:dyDescent="0.25">
      <c r="A30" s="1">
        <v>23</v>
      </c>
      <c r="B30" s="1" t="s">
        <v>1</v>
      </c>
      <c r="C30" s="1" t="s">
        <v>48</v>
      </c>
    </row>
    <row r="31" spans="1:3" x14ac:dyDescent="0.25">
      <c r="A31" s="1">
        <v>24</v>
      </c>
      <c r="B31" s="1" t="s">
        <v>1</v>
      </c>
      <c r="C31" s="1" t="s">
        <v>47</v>
      </c>
    </row>
    <row r="32" spans="1:3" x14ac:dyDescent="0.25">
      <c r="A32" s="1">
        <v>25</v>
      </c>
      <c r="B32" s="1" t="s">
        <v>1</v>
      </c>
      <c r="C32" s="1" t="s">
        <v>46</v>
      </c>
    </row>
    <row r="33" spans="1:3" x14ac:dyDescent="0.25">
      <c r="A33" s="1">
        <v>26</v>
      </c>
      <c r="B33" s="1" t="s">
        <v>1</v>
      </c>
      <c r="C33" s="1" t="s">
        <v>55</v>
      </c>
    </row>
    <row r="34" spans="1:3" x14ac:dyDescent="0.25">
      <c r="A34" s="1">
        <v>27</v>
      </c>
      <c r="B34" s="1" t="s">
        <v>1</v>
      </c>
      <c r="C34" s="1" t="s">
        <v>45</v>
      </c>
    </row>
    <row r="35" spans="1:3" x14ac:dyDescent="0.25">
      <c r="A35" s="1">
        <v>28</v>
      </c>
      <c r="B35" s="1" t="s">
        <v>1</v>
      </c>
      <c r="C35" s="1" t="s">
        <v>87</v>
      </c>
    </row>
    <row r="36" spans="1:3" x14ac:dyDescent="0.25">
      <c r="A36" s="1">
        <v>29</v>
      </c>
      <c r="B36" s="1" t="s">
        <v>1</v>
      </c>
      <c r="C36" s="1" t="s">
        <v>44</v>
      </c>
    </row>
    <row r="37" spans="1:3" x14ac:dyDescent="0.25">
      <c r="A37" s="1">
        <v>30</v>
      </c>
      <c r="B37" s="1" t="s">
        <v>1</v>
      </c>
      <c r="C37" s="1" t="s">
        <v>42</v>
      </c>
    </row>
    <row r="38" spans="1:3" x14ac:dyDescent="0.25">
      <c r="A38" s="1">
        <v>31</v>
      </c>
      <c r="B38" s="1" t="s">
        <v>1</v>
      </c>
      <c r="C38" s="1" t="s">
        <v>41</v>
      </c>
    </row>
    <row r="39" spans="1:3" x14ac:dyDescent="0.25">
      <c r="A39" s="1">
        <v>32</v>
      </c>
      <c r="B39" s="1" t="s">
        <v>1</v>
      </c>
      <c r="C39" s="1" t="s">
        <v>40</v>
      </c>
    </row>
    <row r="40" spans="1:3" x14ac:dyDescent="0.25">
      <c r="A40" s="1">
        <v>33</v>
      </c>
      <c r="B40" s="1" t="s">
        <v>1</v>
      </c>
      <c r="C40" s="1" t="s">
        <v>39</v>
      </c>
    </row>
    <row r="41" spans="1:3" x14ac:dyDescent="0.25">
      <c r="A41" s="1">
        <v>34</v>
      </c>
      <c r="B41" s="1" t="s">
        <v>1</v>
      </c>
      <c r="C41" s="1" t="s">
        <v>38</v>
      </c>
    </row>
    <row r="42" spans="1:3" x14ac:dyDescent="0.25">
      <c r="A42" s="1">
        <v>35</v>
      </c>
      <c r="B42" s="1" t="s">
        <v>1</v>
      </c>
      <c r="C42" s="1" t="s">
        <v>37</v>
      </c>
    </row>
    <row r="43" spans="1:3" x14ac:dyDescent="0.25">
      <c r="A43" s="1">
        <v>36</v>
      </c>
      <c r="B43" s="1" t="s">
        <v>1</v>
      </c>
      <c r="C43" s="1" t="s">
        <v>36</v>
      </c>
    </row>
    <row r="44" spans="1:3" x14ac:dyDescent="0.25">
      <c r="A44" s="1">
        <v>37</v>
      </c>
      <c r="B44" s="1" t="s">
        <v>1</v>
      </c>
      <c r="C44" s="1" t="s">
        <v>86</v>
      </c>
    </row>
    <row r="45" spans="1:3" x14ac:dyDescent="0.25">
      <c r="A45" s="1">
        <v>38</v>
      </c>
      <c r="B45" s="1" t="s">
        <v>1</v>
      </c>
      <c r="C45" s="1" t="s">
        <v>34</v>
      </c>
    </row>
    <row r="46" spans="1:3" x14ac:dyDescent="0.25">
      <c r="A46" s="1">
        <v>39</v>
      </c>
      <c r="B46" s="1" t="s">
        <v>1</v>
      </c>
      <c r="C46" s="1" t="s">
        <v>33</v>
      </c>
    </row>
    <row r="47" spans="1:3" x14ac:dyDescent="0.25">
      <c r="A47" s="1">
        <v>40</v>
      </c>
      <c r="B47" s="1" t="s">
        <v>1</v>
      </c>
      <c r="C47" s="1" t="s">
        <v>35</v>
      </c>
    </row>
    <row r="48" spans="1:3" x14ac:dyDescent="0.25">
      <c r="A48" s="1">
        <v>41</v>
      </c>
      <c r="B48" s="1" t="s">
        <v>1</v>
      </c>
      <c r="C48" s="1" t="s">
        <v>54</v>
      </c>
    </row>
    <row r="49" spans="1:3" x14ac:dyDescent="0.25">
      <c r="A49" s="1">
        <v>42</v>
      </c>
      <c r="B49" s="1" t="s">
        <v>1</v>
      </c>
      <c r="C49" s="1" t="s">
        <v>85</v>
      </c>
    </row>
    <row r="50" spans="1:3" x14ac:dyDescent="0.25">
      <c r="A50" s="1">
        <v>43</v>
      </c>
      <c r="B50" s="1" t="s">
        <v>1</v>
      </c>
      <c r="C50" s="1" t="s">
        <v>55</v>
      </c>
    </row>
    <row r="51" spans="1:3" x14ac:dyDescent="0.25">
      <c r="A51" s="1">
        <v>44</v>
      </c>
      <c r="B51" s="1" t="s">
        <v>1</v>
      </c>
      <c r="C51" s="1" t="s">
        <v>84</v>
      </c>
    </row>
    <row r="52" spans="1:3" x14ac:dyDescent="0.25">
      <c r="A52" s="1">
        <v>45</v>
      </c>
      <c r="B52" s="1" t="s">
        <v>1</v>
      </c>
      <c r="C52" s="1" t="s">
        <v>83</v>
      </c>
    </row>
    <row r="53" spans="1:3" x14ac:dyDescent="0.25">
      <c r="A53" s="1">
        <v>46</v>
      </c>
      <c r="B53" s="1" t="s">
        <v>1</v>
      </c>
      <c r="C53" s="1" t="s">
        <v>58</v>
      </c>
    </row>
    <row r="54" spans="1:3" x14ac:dyDescent="0.25">
      <c r="A54" s="1">
        <v>47</v>
      </c>
      <c r="B54" s="1" t="s">
        <v>1</v>
      </c>
      <c r="C54" s="1" t="s">
        <v>32</v>
      </c>
    </row>
    <row r="55" spans="1:3" x14ac:dyDescent="0.25">
      <c r="A55" s="1">
        <v>48</v>
      </c>
      <c r="B55" s="1" t="s">
        <v>1</v>
      </c>
      <c r="C55" s="1" t="s">
        <v>44</v>
      </c>
    </row>
    <row r="56" spans="1:3" x14ac:dyDescent="0.25">
      <c r="A56" s="1">
        <v>49</v>
      </c>
      <c r="B56" s="1" t="s">
        <v>1</v>
      </c>
      <c r="C56" s="1" t="s">
        <v>56</v>
      </c>
    </row>
    <row r="57" spans="1:3" x14ac:dyDescent="0.25">
      <c r="A57" s="1">
        <v>50</v>
      </c>
      <c r="B57" s="1" t="s">
        <v>1</v>
      </c>
      <c r="C57" s="1" t="s">
        <v>42</v>
      </c>
    </row>
    <row r="58" spans="1:3" x14ac:dyDescent="0.25">
      <c r="A58" s="1">
        <v>51</v>
      </c>
      <c r="B58" s="1" t="s">
        <v>1</v>
      </c>
      <c r="C58" s="1" t="s">
        <v>31</v>
      </c>
    </row>
    <row r="59" spans="1:3" x14ac:dyDescent="0.25">
      <c r="A59" s="1">
        <v>52</v>
      </c>
      <c r="B59" s="1" t="s">
        <v>1</v>
      </c>
      <c r="C59" s="1" t="s">
        <v>82</v>
      </c>
    </row>
    <row r="60" spans="1:3" x14ac:dyDescent="0.25">
      <c r="A60" s="1">
        <v>53</v>
      </c>
      <c r="B60" s="1" t="s">
        <v>1</v>
      </c>
      <c r="C60" s="1" t="s">
        <v>28</v>
      </c>
    </row>
    <row r="61" spans="1:3" x14ac:dyDescent="0.25">
      <c r="A61" s="1">
        <v>54</v>
      </c>
      <c r="B61" s="1" t="s">
        <v>1</v>
      </c>
      <c r="C61" s="1" t="s">
        <v>29</v>
      </c>
    </row>
    <row r="62" spans="1:3" x14ac:dyDescent="0.25">
      <c r="A62" s="1">
        <v>55</v>
      </c>
      <c r="B62" s="1" t="s">
        <v>1</v>
      </c>
      <c r="C62" s="1" t="s">
        <v>19</v>
      </c>
    </row>
    <row r="63" spans="1:3" x14ac:dyDescent="0.25">
      <c r="A63" s="1">
        <v>56</v>
      </c>
      <c r="B63" s="1" t="s">
        <v>1</v>
      </c>
      <c r="C63" s="1" t="s">
        <v>27</v>
      </c>
    </row>
    <row r="64" spans="1:3" x14ac:dyDescent="0.25">
      <c r="A64" s="1">
        <v>57</v>
      </c>
      <c r="B64" s="1" t="s">
        <v>1</v>
      </c>
      <c r="C64" s="1" t="s">
        <v>26</v>
      </c>
    </row>
    <row r="65" spans="1:3" x14ac:dyDescent="0.25">
      <c r="A65" s="1">
        <v>58</v>
      </c>
      <c r="B65" s="1" t="s">
        <v>1</v>
      </c>
      <c r="C65" s="1" t="s">
        <v>25</v>
      </c>
    </row>
    <row r="66" spans="1:3" x14ac:dyDescent="0.25">
      <c r="A66" s="1">
        <v>59</v>
      </c>
      <c r="B66" s="1" t="s">
        <v>1</v>
      </c>
      <c r="C66" s="1" t="s">
        <v>24</v>
      </c>
    </row>
    <row r="67" spans="1:3" x14ac:dyDescent="0.25">
      <c r="A67" s="1">
        <v>60</v>
      </c>
      <c r="B67" s="1" t="s">
        <v>1</v>
      </c>
      <c r="C67" s="1" t="s">
        <v>23</v>
      </c>
    </row>
    <row r="68" spans="1:3" x14ac:dyDescent="0.25">
      <c r="A68" s="1">
        <v>61</v>
      </c>
      <c r="B68" s="1" t="s">
        <v>1</v>
      </c>
      <c r="C68" s="1" t="s">
        <v>22</v>
      </c>
    </row>
    <row r="69" spans="1:3" x14ac:dyDescent="0.25">
      <c r="A69" s="1">
        <v>62</v>
      </c>
      <c r="B69" s="1" t="s">
        <v>1</v>
      </c>
      <c r="C69" s="1" t="s">
        <v>21</v>
      </c>
    </row>
    <row r="70" spans="1:3" x14ac:dyDescent="0.25">
      <c r="A70" s="1">
        <v>63</v>
      </c>
      <c r="B70" s="1" t="s">
        <v>1</v>
      </c>
      <c r="C70" s="1" t="s">
        <v>20</v>
      </c>
    </row>
    <row r="71" spans="1:3" x14ac:dyDescent="0.25">
      <c r="A71" s="1">
        <v>64</v>
      </c>
      <c r="B71" s="1" t="s">
        <v>1</v>
      </c>
      <c r="C71" s="1" t="s">
        <v>19</v>
      </c>
    </row>
    <row r="72" spans="1:3" x14ac:dyDescent="0.25">
      <c r="A72" s="1">
        <v>65</v>
      </c>
      <c r="B72" s="1" t="s">
        <v>1</v>
      </c>
      <c r="C72" s="1" t="s">
        <v>18</v>
      </c>
    </row>
    <row r="73" spans="1:3" x14ac:dyDescent="0.25">
      <c r="A73" s="1">
        <v>66</v>
      </c>
      <c r="B73" s="1" t="s">
        <v>1</v>
      </c>
      <c r="C73" s="1" t="s">
        <v>17</v>
      </c>
    </row>
    <row r="74" spans="1:3" x14ac:dyDescent="0.25">
      <c r="A74" s="1">
        <v>67</v>
      </c>
      <c r="B74" s="1" t="s">
        <v>1</v>
      </c>
      <c r="C74" s="1" t="s">
        <v>2</v>
      </c>
    </row>
    <row r="75" spans="1:3" x14ac:dyDescent="0.25">
      <c r="A75" s="1">
        <v>68</v>
      </c>
      <c r="B75" s="1" t="s">
        <v>1</v>
      </c>
      <c r="C75" s="1" t="s">
        <v>16</v>
      </c>
    </row>
    <row r="76" spans="1:3" x14ac:dyDescent="0.25">
      <c r="A76" s="1">
        <v>69</v>
      </c>
      <c r="B76" s="1" t="s">
        <v>1</v>
      </c>
      <c r="C76" s="1" t="s">
        <v>15</v>
      </c>
    </row>
    <row r="77" spans="1:3" x14ac:dyDescent="0.25">
      <c r="A77" s="1">
        <v>70</v>
      </c>
      <c r="B77" s="1" t="s">
        <v>1</v>
      </c>
      <c r="C77" s="1" t="s">
        <v>14</v>
      </c>
    </row>
    <row r="78" spans="1:3" x14ac:dyDescent="0.25">
      <c r="A78" s="1">
        <v>71</v>
      </c>
      <c r="B78" s="1" t="s">
        <v>1</v>
      </c>
      <c r="C78" s="1" t="s">
        <v>13</v>
      </c>
    </row>
    <row r="79" spans="1:3" x14ac:dyDescent="0.25">
      <c r="A79" s="1">
        <v>72</v>
      </c>
      <c r="B79" s="1" t="s">
        <v>1</v>
      </c>
      <c r="C79" s="1" t="s">
        <v>12</v>
      </c>
    </row>
    <row r="80" spans="1:3" x14ac:dyDescent="0.25">
      <c r="A80" s="1">
        <v>73</v>
      </c>
      <c r="B80" s="1" t="s">
        <v>1</v>
      </c>
      <c r="C80" s="1" t="s">
        <v>11</v>
      </c>
    </row>
    <row r="81" spans="1:3" x14ac:dyDescent="0.25">
      <c r="A81" s="1">
        <v>74</v>
      </c>
      <c r="B81" s="1" t="s">
        <v>1</v>
      </c>
      <c r="C81" s="1" t="s">
        <v>10</v>
      </c>
    </row>
    <row r="82" spans="1:3" x14ac:dyDescent="0.25">
      <c r="A82" s="1">
        <v>75</v>
      </c>
      <c r="B82" s="1" t="s">
        <v>1</v>
      </c>
      <c r="C82" s="1" t="s">
        <v>2</v>
      </c>
    </row>
    <row r="83" spans="1:3" x14ac:dyDescent="0.25">
      <c r="A83" s="1">
        <v>76</v>
      </c>
      <c r="B83" s="1" t="s">
        <v>1</v>
      </c>
      <c r="C83" s="1" t="s">
        <v>9</v>
      </c>
    </row>
    <row r="84" spans="1:3" x14ac:dyDescent="0.25">
      <c r="A84" s="1">
        <v>77</v>
      </c>
      <c r="B84" s="1" t="s">
        <v>1</v>
      </c>
      <c r="C84" s="1" t="s">
        <v>8</v>
      </c>
    </row>
    <row r="85" spans="1:3" x14ac:dyDescent="0.25">
      <c r="A85" s="1">
        <v>78</v>
      </c>
      <c r="B85" s="1" t="s">
        <v>1</v>
      </c>
      <c r="C85" s="1" t="s">
        <v>7</v>
      </c>
    </row>
    <row r="86" spans="1:3" x14ac:dyDescent="0.25">
      <c r="A86" s="1">
        <v>79</v>
      </c>
      <c r="B86" s="1" t="s">
        <v>1</v>
      </c>
      <c r="C86" s="1" t="s">
        <v>6</v>
      </c>
    </row>
    <row r="87" spans="1:3" x14ac:dyDescent="0.25">
      <c r="A87" s="1">
        <v>80</v>
      </c>
      <c r="B87" s="1" t="s">
        <v>1</v>
      </c>
      <c r="C87" s="1" t="s">
        <v>5</v>
      </c>
    </row>
    <row r="88" spans="1:3" x14ac:dyDescent="0.25">
      <c r="A88" s="1">
        <v>81</v>
      </c>
      <c r="B88" s="1" t="s">
        <v>1</v>
      </c>
      <c r="C88" s="1" t="s">
        <v>4</v>
      </c>
    </row>
    <row r="89" spans="1:3" x14ac:dyDescent="0.25">
      <c r="A89" s="1">
        <v>82</v>
      </c>
      <c r="B89" s="1" t="s">
        <v>1</v>
      </c>
      <c r="C89" s="1" t="s">
        <v>3</v>
      </c>
    </row>
    <row r="90" spans="1:3" x14ac:dyDescent="0.25">
      <c r="A90" s="1">
        <v>83</v>
      </c>
      <c r="B90" s="1" t="s">
        <v>1</v>
      </c>
      <c r="C90" s="1" t="s">
        <v>2</v>
      </c>
    </row>
    <row r="91" spans="1:3" x14ac:dyDescent="0.25">
      <c r="A91" s="1">
        <v>84</v>
      </c>
      <c r="B91" s="1" t="s">
        <v>1</v>
      </c>
      <c r="C91" s="1" t="s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D104"/>
  <sheetViews>
    <sheetView zoomScaleNormal="100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  <col min="5" max="5" width="9.140625" customWidth="1"/>
  </cols>
  <sheetData>
    <row r="1" spans="1:4" s="7" customFormat="1" ht="15.75" x14ac:dyDescent="0.3">
      <c r="A1" s="5" t="s">
        <v>161</v>
      </c>
      <c r="B1" s="5"/>
      <c r="C1" s="5"/>
      <c r="D1" s="12"/>
    </row>
    <row r="2" spans="1:4" x14ac:dyDescent="0.25">
      <c r="A2" s="1" t="s">
        <v>154</v>
      </c>
      <c r="B2" s="1" t="s">
        <v>1</v>
      </c>
      <c r="C2" s="2" t="s">
        <v>153</v>
      </c>
    </row>
    <row r="3" spans="1:4" x14ac:dyDescent="0.25">
      <c r="A3" s="1" t="s">
        <v>152</v>
      </c>
      <c r="B3" s="1" t="s">
        <v>1</v>
      </c>
      <c r="C3" s="2">
        <v>0</v>
      </c>
    </row>
    <row r="4" spans="1:4" x14ac:dyDescent="0.25">
      <c r="A4" s="1" t="s">
        <v>151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150</v>
      </c>
      <c r="B5" s="1" t="s">
        <v>1</v>
      </c>
      <c r="C5" s="2" t="s">
        <v>772</v>
      </c>
    </row>
    <row r="6" spans="1:4" x14ac:dyDescent="0.25">
      <c r="A6" s="1" t="s">
        <v>149</v>
      </c>
      <c r="B6" s="1" t="s">
        <v>1</v>
      </c>
      <c r="C6" s="2" t="s">
        <v>775</v>
      </c>
    </row>
    <row r="7" spans="1:4" x14ac:dyDescent="0.25">
      <c r="A7" s="1" t="s">
        <v>148</v>
      </c>
      <c r="B7" s="1" t="s">
        <v>1</v>
      </c>
      <c r="C7" s="2" t="s">
        <v>773</v>
      </c>
    </row>
    <row r="8" spans="1:4" x14ac:dyDescent="0.25">
      <c r="A8" s="1" t="s">
        <v>147</v>
      </c>
      <c r="B8" s="1" t="s">
        <v>1</v>
      </c>
      <c r="C8" s="2" t="s">
        <v>774</v>
      </c>
    </row>
    <row r="9" spans="1:4" x14ac:dyDescent="0.25">
      <c r="A9" s="1" t="s">
        <v>146</v>
      </c>
      <c r="B9" s="1" t="s">
        <v>1</v>
      </c>
      <c r="C9" s="2" t="s">
        <v>785</v>
      </c>
    </row>
    <row r="10" spans="1:4" x14ac:dyDescent="0.25">
      <c r="A10" s="1" t="s">
        <v>145</v>
      </c>
      <c r="B10" s="1" t="s">
        <v>1</v>
      </c>
      <c r="C10" s="2" t="s">
        <v>781</v>
      </c>
    </row>
    <row r="11" spans="1:4" x14ac:dyDescent="0.25">
      <c r="A11" s="1" t="s">
        <v>144</v>
      </c>
      <c r="B11" s="1" t="s">
        <v>1</v>
      </c>
      <c r="C11" s="2" t="s">
        <v>776</v>
      </c>
    </row>
    <row r="12" spans="1:4" x14ac:dyDescent="0.25">
      <c r="A12" s="1" t="s">
        <v>143</v>
      </c>
      <c r="B12" s="1" t="s">
        <v>1</v>
      </c>
      <c r="C12" s="2" t="s">
        <v>777</v>
      </c>
    </row>
    <row r="13" spans="1:4" x14ac:dyDescent="0.25">
      <c r="A13" s="1" t="s">
        <v>142</v>
      </c>
      <c r="B13" s="1" t="s">
        <v>1</v>
      </c>
      <c r="C13" s="2" t="s">
        <v>786</v>
      </c>
    </row>
    <row r="14" spans="1:4" x14ac:dyDescent="0.25">
      <c r="A14" s="1" t="s">
        <v>141</v>
      </c>
      <c r="B14" s="1" t="s">
        <v>1</v>
      </c>
      <c r="C14" s="2" t="s">
        <v>780</v>
      </c>
    </row>
    <row r="15" spans="1:4" x14ac:dyDescent="0.25">
      <c r="A15" s="1" t="s">
        <v>140</v>
      </c>
      <c r="B15" s="1" t="s">
        <v>1</v>
      </c>
      <c r="C15" s="2" t="s">
        <v>778</v>
      </c>
    </row>
    <row r="16" spans="1:4" x14ac:dyDescent="0.25">
      <c r="A16" s="1" t="s">
        <v>139</v>
      </c>
      <c r="B16" s="1" t="s">
        <v>1</v>
      </c>
      <c r="C16" s="2" t="s">
        <v>779</v>
      </c>
    </row>
    <row r="17" spans="1:3" x14ac:dyDescent="0.25">
      <c r="A17" s="1" t="s">
        <v>138</v>
      </c>
      <c r="B17" s="1" t="s">
        <v>1</v>
      </c>
      <c r="C17" s="2" t="s">
        <v>784</v>
      </c>
    </row>
    <row r="18" spans="1:3" x14ac:dyDescent="0.25">
      <c r="A18" s="1" t="s">
        <v>137</v>
      </c>
      <c r="B18" s="1" t="s">
        <v>1</v>
      </c>
      <c r="C18" s="2" t="s">
        <v>787</v>
      </c>
    </row>
    <row r="19" spans="1:3" x14ac:dyDescent="0.25">
      <c r="A19" s="1" t="s">
        <v>136</v>
      </c>
      <c r="B19" s="1" t="s">
        <v>1</v>
      </c>
      <c r="C19" s="2" t="s">
        <v>782</v>
      </c>
    </row>
    <row r="20" spans="1:3" x14ac:dyDescent="0.25">
      <c r="A20" s="1" t="s">
        <v>135</v>
      </c>
      <c r="B20" s="1" t="s">
        <v>1</v>
      </c>
      <c r="C20" s="2" t="s">
        <v>783</v>
      </c>
    </row>
    <row r="21" spans="1:3" x14ac:dyDescent="0.25">
      <c r="A21" s="1" t="s">
        <v>134</v>
      </c>
      <c r="B21" s="1" t="s">
        <v>1</v>
      </c>
      <c r="C21" s="2" t="s">
        <v>788</v>
      </c>
    </row>
    <row r="22" spans="1:3" x14ac:dyDescent="0.25">
      <c r="A22" s="1" t="s">
        <v>133</v>
      </c>
      <c r="B22" s="1" t="s">
        <v>1</v>
      </c>
      <c r="C22" s="2" t="s">
        <v>789</v>
      </c>
    </row>
    <row r="23" spans="1:3" x14ac:dyDescent="0.25">
      <c r="A23" s="1" t="s">
        <v>132</v>
      </c>
      <c r="B23" s="1" t="s">
        <v>1</v>
      </c>
      <c r="C23" s="2" t="s">
        <v>790</v>
      </c>
    </row>
    <row r="24" spans="1:3" x14ac:dyDescent="0.25">
      <c r="A24" s="1" t="s">
        <v>131</v>
      </c>
      <c r="B24" s="1" t="s">
        <v>1</v>
      </c>
      <c r="C24" s="2" t="s">
        <v>791</v>
      </c>
    </row>
    <row r="25" spans="1:3" x14ac:dyDescent="0.25">
      <c r="A25" s="1" t="s">
        <v>130</v>
      </c>
      <c r="B25" s="1" t="s">
        <v>1</v>
      </c>
      <c r="C25" s="2" t="s">
        <v>792</v>
      </c>
    </row>
    <row r="26" spans="1:3" x14ac:dyDescent="0.25">
      <c r="A26" s="1" t="s">
        <v>129</v>
      </c>
      <c r="B26" s="1" t="s">
        <v>1</v>
      </c>
      <c r="C26" s="2" t="s">
        <v>793</v>
      </c>
    </row>
    <row r="27" spans="1:3" x14ac:dyDescent="0.25">
      <c r="A27" s="1" t="s">
        <v>128</v>
      </c>
      <c r="B27" s="1" t="s">
        <v>1</v>
      </c>
      <c r="C27" s="2" t="s">
        <v>794</v>
      </c>
    </row>
    <row r="28" spans="1:3" x14ac:dyDescent="0.25">
      <c r="A28" s="1" t="s">
        <v>127</v>
      </c>
      <c r="B28" s="1" t="s">
        <v>1</v>
      </c>
      <c r="C28" s="2" t="s">
        <v>795</v>
      </c>
    </row>
    <row r="29" spans="1:3" x14ac:dyDescent="0.25">
      <c r="A29" s="1" t="s">
        <v>126</v>
      </c>
      <c r="B29" s="1" t="s">
        <v>1</v>
      </c>
      <c r="C29" s="2" t="s">
        <v>796</v>
      </c>
    </row>
    <row r="30" spans="1:3" x14ac:dyDescent="0.25">
      <c r="A30" s="1" t="s">
        <v>125</v>
      </c>
      <c r="B30" s="1" t="s">
        <v>1</v>
      </c>
      <c r="C30" s="2" t="s">
        <v>797</v>
      </c>
    </row>
    <row r="31" spans="1:3" x14ac:dyDescent="0.25">
      <c r="A31" s="1" t="s">
        <v>124</v>
      </c>
      <c r="B31" s="1" t="s">
        <v>1</v>
      </c>
      <c r="C31" s="2" t="s">
        <v>798</v>
      </c>
    </row>
    <row r="32" spans="1:3" x14ac:dyDescent="0.25">
      <c r="A32" s="1" t="s">
        <v>123</v>
      </c>
      <c r="B32" s="1" t="s">
        <v>1</v>
      </c>
      <c r="C32" s="2" t="s">
        <v>799</v>
      </c>
    </row>
    <row r="33" spans="1:3" x14ac:dyDescent="0.25">
      <c r="A33" s="1" t="s">
        <v>122</v>
      </c>
      <c r="B33" s="1" t="s">
        <v>1</v>
      </c>
      <c r="C33" s="2" t="s">
        <v>800</v>
      </c>
    </row>
    <row r="34" spans="1:3" x14ac:dyDescent="0.25">
      <c r="A34" s="1" t="s">
        <v>121</v>
      </c>
      <c r="B34" s="1" t="s">
        <v>1</v>
      </c>
      <c r="C34" s="2" t="s">
        <v>801</v>
      </c>
    </row>
    <row r="35" spans="1:3" x14ac:dyDescent="0.25">
      <c r="A35" s="1" t="s">
        <v>657</v>
      </c>
      <c r="B35" s="1" t="s">
        <v>1</v>
      </c>
      <c r="C35" s="2" t="s">
        <v>818</v>
      </c>
    </row>
    <row r="36" spans="1:3" x14ac:dyDescent="0.25">
      <c r="A36" s="1" t="s">
        <v>658</v>
      </c>
      <c r="B36" s="1" t="s">
        <v>1</v>
      </c>
      <c r="C36" s="2" t="s">
        <v>817</v>
      </c>
    </row>
    <row r="37" spans="1:3" x14ac:dyDescent="0.25">
      <c r="A37" s="1" t="s">
        <v>659</v>
      </c>
      <c r="B37" s="1" t="s">
        <v>1</v>
      </c>
      <c r="C37" s="2" t="s">
        <v>819</v>
      </c>
    </row>
    <row r="38" spans="1:3" x14ac:dyDescent="0.25">
      <c r="A38" s="1" t="s">
        <v>660</v>
      </c>
      <c r="B38" s="1" t="s">
        <v>1</v>
      </c>
      <c r="C38" s="2" t="s">
        <v>820</v>
      </c>
    </row>
    <row r="39" spans="1:3" x14ac:dyDescent="0.25">
      <c r="A39" s="1" t="s">
        <v>661</v>
      </c>
      <c r="B39" s="1" t="s">
        <v>1</v>
      </c>
      <c r="C39" s="2" t="s">
        <v>942</v>
      </c>
    </row>
    <row r="40" spans="1:3" x14ac:dyDescent="0.25">
      <c r="A40" s="1" t="s">
        <v>802</v>
      </c>
      <c r="B40" s="1" t="s">
        <v>1</v>
      </c>
      <c r="C40" s="2" t="s">
        <v>943</v>
      </c>
    </row>
    <row r="41" spans="1:3" x14ac:dyDescent="0.25">
      <c r="A41" s="1" t="s">
        <v>803</v>
      </c>
      <c r="B41" s="1" t="s">
        <v>1</v>
      </c>
      <c r="C41" s="2" t="s">
        <v>944</v>
      </c>
    </row>
    <row r="42" spans="1:3" x14ac:dyDescent="0.25">
      <c r="A42" s="1" t="s">
        <v>804</v>
      </c>
      <c r="B42" s="1" t="s">
        <v>1</v>
      </c>
      <c r="C42" s="2" t="s">
        <v>945</v>
      </c>
    </row>
    <row r="43" spans="1:3" x14ac:dyDescent="0.25">
      <c r="A43" s="1" t="s">
        <v>805</v>
      </c>
      <c r="B43" s="1" t="s">
        <v>1</v>
      </c>
      <c r="C43" s="2" t="s">
        <v>822</v>
      </c>
    </row>
    <row r="44" spans="1:3" x14ac:dyDescent="0.25">
      <c r="A44" s="1" t="s">
        <v>806</v>
      </c>
      <c r="B44" s="1" t="s">
        <v>1</v>
      </c>
      <c r="C44" s="2" t="s">
        <v>821</v>
      </c>
    </row>
    <row r="45" spans="1:3" x14ac:dyDescent="0.25">
      <c r="A45" s="1" t="s">
        <v>807</v>
      </c>
      <c r="B45" s="1" t="s">
        <v>1</v>
      </c>
      <c r="C45" s="2" t="s">
        <v>823</v>
      </c>
    </row>
    <row r="46" spans="1:3" x14ac:dyDescent="0.25">
      <c r="A46" s="1" t="s">
        <v>808</v>
      </c>
      <c r="B46" s="1" t="s">
        <v>1</v>
      </c>
      <c r="C46" s="1" t="s">
        <v>824</v>
      </c>
    </row>
    <row r="47" spans="1:3" x14ac:dyDescent="0.25">
      <c r="A47" s="1" t="s">
        <v>809</v>
      </c>
      <c r="B47" s="1" t="s">
        <v>1</v>
      </c>
      <c r="C47" s="2" t="s">
        <v>825</v>
      </c>
    </row>
    <row r="48" spans="1:3" x14ac:dyDescent="0.25">
      <c r="A48" s="1" t="s">
        <v>810</v>
      </c>
      <c r="B48" s="1" t="s">
        <v>1</v>
      </c>
      <c r="C48" s="2" t="s">
        <v>935</v>
      </c>
    </row>
    <row r="49" spans="1:4" x14ac:dyDescent="0.25">
      <c r="A49" s="1" t="s">
        <v>811</v>
      </c>
      <c r="B49" s="1" t="s">
        <v>1</v>
      </c>
      <c r="C49" s="2" t="s">
        <v>933</v>
      </c>
    </row>
    <row r="50" spans="1:4" x14ac:dyDescent="0.25">
      <c r="A50" s="1" t="s">
        <v>812</v>
      </c>
      <c r="B50" s="1" t="s">
        <v>1</v>
      </c>
      <c r="C50" s="2" t="s">
        <v>934</v>
      </c>
    </row>
    <row r="51" spans="1:4" x14ac:dyDescent="0.25">
      <c r="A51" s="1" t="s">
        <v>813</v>
      </c>
      <c r="B51" s="1" t="s">
        <v>1</v>
      </c>
      <c r="C51" s="2" t="s">
        <v>826</v>
      </c>
    </row>
    <row r="52" spans="1:4" x14ac:dyDescent="0.25">
      <c r="A52" s="1" t="s">
        <v>814</v>
      </c>
      <c r="B52" s="1" t="s">
        <v>1</v>
      </c>
      <c r="C52" s="2" t="s">
        <v>827</v>
      </c>
    </row>
    <row r="53" spans="1:4" x14ac:dyDescent="0.25">
      <c r="A53" s="1" t="s">
        <v>815</v>
      </c>
      <c r="B53" s="1" t="s">
        <v>1</v>
      </c>
      <c r="C53" s="2" t="s">
        <v>828</v>
      </c>
    </row>
    <row r="54" spans="1:4" x14ac:dyDescent="0.25">
      <c r="A54" s="1" t="s">
        <v>816</v>
      </c>
      <c r="B54" s="1" t="s">
        <v>1</v>
      </c>
      <c r="C54" s="2" t="s">
        <v>829</v>
      </c>
    </row>
    <row r="55" spans="1:4" x14ac:dyDescent="0.25">
      <c r="A55" s="1" t="s">
        <v>120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119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118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117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116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115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114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113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112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111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110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109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108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107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106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105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104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103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102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101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100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99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98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97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96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95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94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93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92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91</v>
      </c>
      <c r="B84" s="1" t="s">
        <v>1</v>
      </c>
      <c r="C84" s="2" t="str">
        <f>".equ PostScaler,                " &amp; D84</f>
        <v>.equ PostScaler,                58</v>
      </c>
      <c r="D84" s="13">
        <v>58</v>
      </c>
    </row>
    <row r="85" spans="1:4" x14ac:dyDescent="0.25">
      <c r="A85" s="1" t="s">
        <v>652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653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654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655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656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758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759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760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761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762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763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764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765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766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767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768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769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770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771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830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C132"/>
  <sheetViews>
    <sheetView zoomScale="130" zoomScaleNormal="130" workbookViewId="0">
      <selection activeCell="C5" sqref="C5"/>
    </sheetView>
  </sheetViews>
  <sheetFormatPr defaultRowHeight="15" x14ac:dyDescent="0.25"/>
  <cols>
    <col min="1" max="1" width="1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160</v>
      </c>
      <c r="B1" s="5"/>
      <c r="C1" s="5"/>
    </row>
    <row r="2" spans="1:3" x14ac:dyDescent="0.25">
      <c r="A2" s="1" t="s">
        <v>159</v>
      </c>
      <c r="C2" s="2"/>
    </row>
    <row r="3" spans="1:3" x14ac:dyDescent="0.25">
      <c r="A3" s="1" t="s">
        <v>158</v>
      </c>
      <c r="C3" s="2"/>
    </row>
    <row r="4" spans="1:3" x14ac:dyDescent="0.25">
      <c r="A4" s="1" t="s">
        <v>79</v>
      </c>
      <c r="B4" s="1" t="s">
        <v>1</v>
      </c>
      <c r="C4" s="2" t="s">
        <v>1031</v>
      </c>
    </row>
    <row r="5" spans="1:3" x14ac:dyDescent="0.25">
      <c r="A5" s="1" t="s">
        <v>78</v>
      </c>
      <c r="B5" s="1" t="s">
        <v>1</v>
      </c>
      <c r="C5" s="2" t="s">
        <v>77</v>
      </c>
    </row>
    <row r="6" spans="1:3" x14ac:dyDescent="0.25">
      <c r="A6" s="1" t="s">
        <v>76</v>
      </c>
      <c r="B6" s="1" t="s">
        <v>1</v>
      </c>
      <c r="C6" s="9">
        <f>COUNTA(A:A)-6</f>
        <v>126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157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ht="15.75" x14ac:dyDescent="0.3">
      <c r="A13" s="1">
        <v>6</v>
      </c>
      <c r="B13" s="1" t="s">
        <v>1</v>
      </c>
      <c r="C13" s="15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46</v>
      </c>
    </row>
    <row r="31" spans="1:3" x14ac:dyDescent="0.25">
      <c r="A31" s="1">
        <v>24</v>
      </c>
      <c r="B31" s="1" t="s">
        <v>1</v>
      </c>
      <c r="C31" s="2" t="s">
        <v>55</v>
      </c>
    </row>
    <row r="32" spans="1:3" x14ac:dyDescent="0.25">
      <c r="A32" s="1">
        <v>25</v>
      </c>
      <c r="B32" s="1" t="s">
        <v>1</v>
      </c>
      <c r="C32" s="2" t="s">
        <v>53</v>
      </c>
    </row>
    <row r="33" spans="1:3" x14ac:dyDescent="0.25">
      <c r="A33" s="1">
        <v>26</v>
      </c>
      <c r="B33" s="1" t="s">
        <v>1</v>
      </c>
      <c r="C33" s="2" t="s">
        <v>52</v>
      </c>
    </row>
    <row r="34" spans="1:3" x14ac:dyDescent="0.25">
      <c r="A34" s="1">
        <v>27</v>
      </c>
      <c r="B34" s="1" t="s">
        <v>1</v>
      </c>
      <c r="C34" s="2" t="s">
        <v>51</v>
      </c>
    </row>
    <row r="35" spans="1:3" x14ac:dyDescent="0.25">
      <c r="A35" s="1">
        <v>28</v>
      </c>
      <c r="B35" s="1" t="s">
        <v>1</v>
      </c>
      <c r="C35" s="2" t="s">
        <v>50</v>
      </c>
    </row>
    <row r="36" spans="1:3" x14ac:dyDescent="0.25">
      <c r="A36" s="1">
        <v>29</v>
      </c>
      <c r="B36" s="1" t="s">
        <v>1</v>
      </c>
      <c r="C36" s="2" t="s">
        <v>49</v>
      </c>
    </row>
    <row r="37" spans="1:3" x14ac:dyDescent="0.25">
      <c r="A37" s="1">
        <v>30</v>
      </c>
      <c r="B37" s="1" t="s">
        <v>1</v>
      </c>
      <c r="C37" s="2" t="s">
        <v>48</v>
      </c>
    </row>
    <row r="38" spans="1:3" x14ac:dyDescent="0.25">
      <c r="A38" s="1">
        <v>31</v>
      </c>
      <c r="B38" s="1" t="s">
        <v>1</v>
      </c>
      <c r="C38" s="2" t="s">
        <v>47</v>
      </c>
    </row>
    <row r="39" spans="1:3" x14ac:dyDescent="0.25">
      <c r="A39" s="1">
        <v>32</v>
      </c>
      <c r="B39" s="1" t="s">
        <v>1</v>
      </c>
      <c r="C39" s="2" t="s">
        <v>54</v>
      </c>
    </row>
    <row r="40" spans="1:3" x14ac:dyDescent="0.25">
      <c r="A40" s="1">
        <v>33</v>
      </c>
      <c r="B40" s="1" t="s">
        <v>1</v>
      </c>
      <c r="C40" s="2" t="s">
        <v>45</v>
      </c>
    </row>
    <row r="41" spans="1:3" x14ac:dyDescent="0.25">
      <c r="A41" s="1">
        <v>34</v>
      </c>
      <c r="B41" s="1" t="s">
        <v>1</v>
      </c>
      <c r="C41" s="2" t="s">
        <v>44</v>
      </c>
    </row>
    <row r="42" spans="1:3" x14ac:dyDescent="0.25">
      <c r="A42" s="1">
        <v>35</v>
      </c>
      <c r="B42" s="1" t="s">
        <v>1</v>
      </c>
      <c r="C42" s="2" t="s">
        <v>43</v>
      </c>
    </row>
    <row r="43" spans="1:3" x14ac:dyDescent="0.25">
      <c r="A43" s="1">
        <v>36</v>
      </c>
      <c r="B43" s="1" t="s">
        <v>1</v>
      </c>
      <c r="C43" s="2" t="s">
        <v>42</v>
      </c>
    </row>
    <row r="44" spans="1:3" x14ac:dyDescent="0.25">
      <c r="A44" s="1">
        <v>37</v>
      </c>
      <c r="B44" s="1" t="s">
        <v>1</v>
      </c>
      <c r="C44" s="2" t="s">
        <v>41</v>
      </c>
    </row>
    <row r="45" spans="1:3" x14ac:dyDescent="0.25">
      <c r="A45" s="1">
        <v>38</v>
      </c>
      <c r="B45" s="1" t="s">
        <v>1</v>
      </c>
      <c r="C45" s="2" t="s">
        <v>40</v>
      </c>
    </row>
    <row r="46" spans="1:3" x14ac:dyDescent="0.25">
      <c r="A46" s="1">
        <v>39</v>
      </c>
      <c r="B46" s="1" t="s">
        <v>1</v>
      </c>
      <c r="C46" s="2" t="s">
        <v>156</v>
      </c>
    </row>
    <row r="47" spans="1:3" x14ac:dyDescent="0.25">
      <c r="A47" s="1">
        <v>40</v>
      </c>
      <c r="B47" s="1" t="s">
        <v>1</v>
      </c>
      <c r="C47" s="2" t="s">
        <v>40</v>
      </c>
    </row>
    <row r="48" spans="1:3" x14ac:dyDescent="0.25">
      <c r="A48" s="1">
        <v>41</v>
      </c>
      <c r="B48" s="1" t="s">
        <v>1</v>
      </c>
      <c r="C48" s="2" t="s">
        <v>39</v>
      </c>
    </row>
    <row r="49" spans="1:3" x14ac:dyDescent="0.25">
      <c r="A49" s="1">
        <v>42</v>
      </c>
      <c r="B49" s="1" t="s">
        <v>1</v>
      </c>
      <c r="C49" s="2" t="s">
        <v>38</v>
      </c>
    </row>
    <row r="50" spans="1:3" x14ac:dyDescent="0.25">
      <c r="A50" s="1">
        <v>43</v>
      </c>
      <c r="B50" s="1" t="s">
        <v>1</v>
      </c>
      <c r="C50" s="2" t="s">
        <v>37</v>
      </c>
    </row>
    <row r="51" spans="1:3" x14ac:dyDescent="0.25">
      <c r="A51" s="1">
        <v>44</v>
      </c>
      <c r="B51" s="1" t="s">
        <v>1</v>
      </c>
      <c r="C51" s="2" t="s">
        <v>36</v>
      </c>
    </row>
    <row r="52" spans="1:3" x14ac:dyDescent="0.25">
      <c r="A52" s="1">
        <v>45</v>
      </c>
      <c r="B52" s="1" t="s">
        <v>1</v>
      </c>
      <c r="C52" s="2" t="s">
        <v>35</v>
      </c>
    </row>
    <row r="53" spans="1:3" x14ac:dyDescent="0.25">
      <c r="A53" s="1">
        <v>46</v>
      </c>
      <c r="B53" s="1" t="s">
        <v>1</v>
      </c>
      <c r="C53" s="2" t="s">
        <v>34</v>
      </c>
    </row>
    <row r="54" spans="1:3" x14ac:dyDescent="0.25">
      <c r="A54" s="1">
        <v>47</v>
      </c>
      <c r="B54" s="1" t="s">
        <v>1</v>
      </c>
      <c r="C54" s="2" t="s">
        <v>33</v>
      </c>
    </row>
    <row r="55" spans="1:3" x14ac:dyDescent="0.25">
      <c r="A55" s="1">
        <v>48</v>
      </c>
      <c r="B55" s="1" t="s">
        <v>1</v>
      </c>
      <c r="C55" s="2" t="s">
        <v>32</v>
      </c>
    </row>
    <row r="56" spans="1:3" x14ac:dyDescent="0.25">
      <c r="A56" s="1">
        <v>49</v>
      </c>
      <c r="B56" s="1" t="s">
        <v>1</v>
      </c>
      <c r="C56" s="2" t="s">
        <v>31</v>
      </c>
    </row>
    <row r="57" spans="1:3" x14ac:dyDescent="0.25">
      <c r="A57" s="1">
        <v>50</v>
      </c>
      <c r="B57" s="1" t="s">
        <v>1</v>
      </c>
      <c r="C57" s="2" t="s">
        <v>30</v>
      </c>
    </row>
    <row r="58" spans="1:3" x14ac:dyDescent="0.25">
      <c r="A58" s="1">
        <v>51</v>
      </c>
      <c r="B58" s="1" t="s">
        <v>1</v>
      </c>
      <c r="C58" s="2" t="s">
        <v>28</v>
      </c>
    </row>
    <row r="59" spans="1:3" x14ac:dyDescent="0.25">
      <c r="A59" s="1">
        <v>52</v>
      </c>
      <c r="B59" s="1" t="s">
        <v>1</v>
      </c>
      <c r="C59" s="2" t="s">
        <v>19</v>
      </c>
    </row>
    <row r="60" spans="1:3" x14ac:dyDescent="0.25">
      <c r="A60" s="1">
        <v>53</v>
      </c>
      <c r="B60" s="1" t="s">
        <v>1</v>
      </c>
      <c r="C60" s="2" t="s">
        <v>27</v>
      </c>
    </row>
    <row r="61" spans="1:3" x14ac:dyDescent="0.25">
      <c r="A61" s="1">
        <v>54</v>
      </c>
      <c r="B61" s="1" t="s">
        <v>1</v>
      </c>
      <c r="C61" s="2" t="s">
        <v>26</v>
      </c>
    </row>
    <row r="62" spans="1:3" x14ac:dyDescent="0.25">
      <c r="A62" s="1">
        <v>55</v>
      </c>
      <c r="B62" s="1" t="s">
        <v>1</v>
      </c>
      <c r="C62" s="2" t="s">
        <v>25</v>
      </c>
    </row>
    <row r="63" spans="1:3" x14ac:dyDescent="0.25">
      <c r="A63" s="1">
        <v>56</v>
      </c>
      <c r="B63" s="1" t="s">
        <v>1</v>
      </c>
      <c r="C63" s="2" t="s">
        <v>24</v>
      </c>
    </row>
    <row r="64" spans="1:3" x14ac:dyDescent="0.25">
      <c r="A64" s="1">
        <v>57</v>
      </c>
      <c r="B64" s="1" t="s">
        <v>1</v>
      </c>
      <c r="C64" s="2" t="s">
        <v>23</v>
      </c>
    </row>
    <row r="65" spans="1:3" x14ac:dyDescent="0.25">
      <c r="A65" s="1">
        <v>58</v>
      </c>
      <c r="B65" s="1" t="s">
        <v>1</v>
      </c>
      <c r="C65" s="2" t="s">
        <v>22</v>
      </c>
    </row>
    <row r="66" spans="1:3" x14ac:dyDescent="0.25">
      <c r="A66" s="1">
        <v>59</v>
      </c>
      <c r="B66" s="1" t="s">
        <v>1</v>
      </c>
      <c r="C66" s="2" t="s">
        <v>21</v>
      </c>
    </row>
    <row r="67" spans="1:3" x14ac:dyDescent="0.25">
      <c r="A67" s="1">
        <v>60</v>
      </c>
      <c r="B67" s="1" t="s">
        <v>1</v>
      </c>
      <c r="C67" s="2" t="s">
        <v>20</v>
      </c>
    </row>
    <row r="68" spans="1:3" x14ac:dyDescent="0.25">
      <c r="A68" s="1">
        <v>61</v>
      </c>
      <c r="B68" s="1" t="s">
        <v>1</v>
      </c>
      <c r="C68" s="2" t="s">
        <v>29</v>
      </c>
    </row>
    <row r="69" spans="1:3" x14ac:dyDescent="0.25">
      <c r="A69" s="1">
        <v>62</v>
      </c>
      <c r="B69" s="1" t="s">
        <v>1</v>
      </c>
      <c r="C69" s="2" t="s">
        <v>19</v>
      </c>
    </row>
    <row r="70" spans="1:3" x14ac:dyDescent="0.25">
      <c r="A70" s="1">
        <v>63</v>
      </c>
      <c r="B70" s="1" t="s">
        <v>1</v>
      </c>
      <c r="C70" s="2" t="s">
        <v>18</v>
      </c>
    </row>
    <row r="71" spans="1:3" x14ac:dyDescent="0.25">
      <c r="A71" s="1">
        <v>64</v>
      </c>
      <c r="B71" s="1" t="s">
        <v>1</v>
      </c>
      <c r="C71" s="2" t="s">
        <v>17</v>
      </c>
    </row>
    <row r="72" spans="1:3" x14ac:dyDescent="0.25">
      <c r="A72" s="1">
        <v>65</v>
      </c>
      <c r="B72" s="1" t="s">
        <v>1</v>
      </c>
      <c r="C72" s="2" t="s">
        <v>2</v>
      </c>
    </row>
    <row r="73" spans="1:3" ht="15.75" x14ac:dyDescent="0.3">
      <c r="A73" s="1">
        <v>66</v>
      </c>
      <c r="B73" s="1" t="s">
        <v>1</v>
      </c>
      <c r="C73" s="15" t="s">
        <v>16</v>
      </c>
    </row>
    <row r="74" spans="1:3" x14ac:dyDescent="0.25">
      <c r="A74" s="1">
        <v>67</v>
      </c>
      <c r="B74" s="1" t="s">
        <v>1</v>
      </c>
      <c r="C74" s="2" t="s">
        <v>15</v>
      </c>
    </row>
    <row r="75" spans="1:3" x14ac:dyDescent="0.25">
      <c r="A75" s="1">
        <v>68</v>
      </c>
      <c r="B75" s="1" t="s">
        <v>1</v>
      </c>
      <c r="C75" s="2" t="s">
        <v>14</v>
      </c>
    </row>
    <row r="76" spans="1:3" x14ac:dyDescent="0.25">
      <c r="A76" s="1">
        <v>69</v>
      </c>
      <c r="B76" s="1" t="s">
        <v>1</v>
      </c>
      <c r="C76" s="2" t="s">
        <v>13</v>
      </c>
    </row>
    <row r="77" spans="1:3" x14ac:dyDescent="0.25">
      <c r="A77" s="1">
        <v>70</v>
      </c>
      <c r="B77" s="1" t="s">
        <v>1</v>
      </c>
      <c r="C77" s="2" t="s">
        <v>12</v>
      </c>
    </row>
    <row r="78" spans="1:3" x14ac:dyDescent="0.25">
      <c r="A78" s="1">
        <v>71</v>
      </c>
      <c r="B78" s="1" t="s">
        <v>1</v>
      </c>
      <c r="C78" s="2" t="s">
        <v>11</v>
      </c>
    </row>
    <row r="79" spans="1:3" x14ac:dyDescent="0.25">
      <c r="A79" s="1">
        <v>72</v>
      </c>
      <c r="B79" s="1" t="s">
        <v>1</v>
      </c>
      <c r="C79" s="2" t="s">
        <v>10</v>
      </c>
    </row>
    <row r="80" spans="1:3" x14ac:dyDescent="0.25">
      <c r="A80" s="1">
        <v>73</v>
      </c>
      <c r="B80" s="1" t="s">
        <v>1</v>
      </c>
      <c r="C80" s="2" t="s">
        <v>2</v>
      </c>
    </row>
    <row r="81" spans="1:3" ht="15.75" x14ac:dyDescent="0.3">
      <c r="A81" s="1">
        <v>74</v>
      </c>
      <c r="B81" s="1" t="s">
        <v>1</v>
      </c>
      <c r="C81" s="15" t="s">
        <v>9</v>
      </c>
    </row>
    <row r="82" spans="1:3" x14ac:dyDescent="0.25">
      <c r="A82" s="1">
        <v>75</v>
      </c>
      <c r="B82" s="1" t="s">
        <v>1</v>
      </c>
      <c r="C82" s="2" t="s">
        <v>8</v>
      </c>
    </row>
    <row r="83" spans="1:3" x14ac:dyDescent="0.25">
      <c r="A83" s="1">
        <v>76</v>
      </c>
      <c r="B83" s="1" t="s">
        <v>1</v>
      </c>
      <c r="C83" s="2" t="s">
        <v>7</v>
      </c>
    </row>
    <row r="84" spans="1:3" x14ac:dyDescent="0.25">
      <c r="A84" s="1">
        <v>77</v>
      </c>
      <c r="B84" s="1" t="s">
        <v>1</v>
      </c>
      <c r="C84" s="2" t="s">
        <v>6</v>
      </c>
    </row>
    <row r="85" spans="1:3" x14ac:dyDescent="0.25">
      <c r="A85" s="1">
        <v>78</v>
      </c>
      <c r="B85" s="1" t="s">
        <v>1</v>
      </c>
      <c r="C85" s="2" t="s">
        <v>5</v>
      </c>
    </row>
    <row r="86" spans="1:3" x14ac:dyDescent="0.25">
      <c r="A86" s="1">
        <v>79</v>
      </c>
      <c r="B86" s="1" t="s">
        <v>1</v>
      </c>
      <c r="C86" s="2" t="s">
        <v>4</v>
      </c>
    </row>
    <row r="87" spans="1:3" x14ac:dyDescent="0.25">
      <c r="A87" s="1">
        <v>80</v>
      </c>
      <c r="B87" s="1" t="s">
        <v>1</v>
      </c>
      <c r="C87" s="2" t="s">
        <v>3</v>
      </c>
    </row>
    <row r="88" spans="1:3" x14ac:dyDescent="0.25">
      <c r="A88" s="1">
        <v>81</v>
      </c>
      <c r="B88" s="1" t="s">
        <v>1</v>
      </c>
      <c r="C88" s="2" t="s">
        <v>2</v>
      </c>
    </row>
    <row r="89" spans="1:3" ht="15.75" x14ac:dyDescent="0.3">
      <c r="A89" s="1">
        <v>82</v>
      </c>
      <c r="B89" s="1" t="s">
        <v>1</v>
      </c>
      <c r="C89" s="14" t="s">
        <v>948</v>
      </c>
    </row>
    <row r="90" spans="1:3" x14ac:dyDescent="0.25">
      <c r="A90" s="1">
        <v>83</v>
      </c>
      <c r="B90" s="1" t="s">
        <v>1</v>
      </c>
      <c r="C90" s="1" t="s">
        <v>65</v>
      </c>
    </row>
    <row r="91" spans="1:3" x14ac:dyDescent="0.25">
      <c r="A91" s="1">
        <v>84</v>
      </c>
      <c r="B91" s="1" t="s">
        <v>1</v>
      </c>
      <c r="C91" s="1" t="s">
        <v>68</v>
      </c>
    </row>
    <row r="92" spans="1:3" x14ac:dyDescent="0.25">
      <c r="A92" s="1">
        <v>85</v>
      </c>
      <c r="B92" s="1" t="s">
        <v>1</v>
      </c>
      <c r="C92" s="1" t="s">
        <v>67</v>
      </c>
    </row>
    <row r="93" spans="1:3" x14ac:dyDescent="0.25">
      <c r="A93" s="1">
        <v>86</v>
      </c>
      <c r="B93" s="1" t="s">
        <v>1</v>
      </c>
      <c r="C93" s="1" t="s">
        <v>977</v>
      </c>
    </row>
    <row r="94" spans="1:3" x14ac:dyDescent="0.25">
      <c r="A94" s="1">
        <v>87</v>
      </c>
      <c r="B94" s="1" t="s">
        <v>1</v>
      </c>
      <c r="C94" s="1" t="s">
        <v>65</v>
      </c>
    </row>
    <row r="95" spans="1:3" x14ac:dyDescent="0.25">
      <c r="A95" s="1">
        <v>88</v>
      </c>
      <c r="B95" s="1" t="s">
        <v>1</v>
      </c>
      <c r="C95" s="1" t="s">
        <v>64</v>
      </c>
    </row>
    <row r="96" spans="1:3" x14ac:dyDescent="0.25">
      <c r="A96" s="1">
        <v>89</v>
      </c>
      <c r="B96" s="1" t="s">
        <v>1</v>
      </c>
      <c r="C96" s="1" t="s">
        <v>63</v>
      </c>
    </row>
    <row r="97" spans="1:3" x14ac:dyDescent="0.25">
      <c r="A97" s="1">
        <v>90</v>
      </c>
      <c r="B97" s="1" t="s">
        <v>1</v>
      </c>
      <c r="C97" s="1" t="s">
        <v>62</v>
      </c>
    </row>
    <row r="98" spans="1:3" x14ac:dyDescent="0.25">
      <c r="A98" s="1">
        <v>91</v>
      </c>
      <c r="B98" s="1" t="s">
        <v>1</v>
      </c>
      <c r="C98" s="1" t="s">
        <v>61</v>
      </c>
    </row>
    <row r="99" spans="1:3" x14ac:dyDescent="0.25">
      <c r="A99" s="1">
        <v>92</v>
      </c>
      <c r="B99" s="1" t="s">
        <v>1</v>
      </c>
      <c r="C99" s="1" t="s">
        <v>60</v>
      </c>
    </row>
    <row r="100" spans="1:3" x14ac:dyDescent="0.25">
      <c r="A100" s="1">
        <v>93</v>
      </c>
      <c r="B100" s="1" t="s">
        <v>1</v>
      </c>
      <c r="C100" s="1" t="s">
        <v>59</v>
      </c>
    </row>
    <row r="101" spans="1:3" x14ac:dyDescent="0.25">
      <c r="A101" s="1">
        <v>94</v>
      </c>
      <c r="B101" s="1" t="s">
        <v>1</v>
      </c>
      <c r="C101" s="1" t="s">
        <v>53</v>
      </c>
    </row>
    <row r="102" spans="1:3" x14ac:dyDescent="0.25">
      <c r="A102" s="1">
        <v>95</v>
      </c>
      <c r="B102" s="1" t="s">
        <v>1</v>
      </c>
      <c r="C102" s="1" t="s">
        <v>52</v>
      </c>
    </row>
    <row r="103" spans="1:3" x14ac:dyDescent="0.25">
      <c r="A103" s="1">
        <v>96</v>
      </c>
      <c r="B103" s="1" t="s">
        <v>1</v>
      </c>
      <c r="C103" s="1" t="s">
        <v>51</v>
      </c>
    </row>
    <row r="104" spans="1:3" x14ac:dyDescent="0.25">
      <c r="A104" s="1">
        <v>97</v>
      </c>
      <c r="B104" s="1" t="s">
        <v>1</v>
      </c>
      <c r="C104" s="1" t="s">
        <v>50</v>
      </c>
    </row>
    <row r="105" spans="1:3" x14ac:dyDescent="0.25">
      <c r="A105" s="1">
        <v>98</v>
      </c>
      <c r="B105" s="1" t="s">
        <v>1</v>
      </c>
      <c r="C105" s="1" t="s">
        <v>49</v>
      </c>
    </row>
    <row r="106" spans="1:3" x14ac:dyDescent="0.25">
      <c r="A106" s="1">
        <v>99</v>
      </c>
      <c r="B106" s="1" t="s">
        <v>1</v>
      </c>
      <c r="C106" s="1" t="s">
        <v>48</v>
      </c>
    </row>
    <row r="107" spans="1:3" x14ac:dyDescent="0.25">
      <c r="A107" s="1">
        <v>100</v>
      </c>
      <c r="B107" s="1" t="s">
        <v>1</v>
      </c>
      <c r="C107" s="1" t="s">
        <v>47</v>
      </c>
    </row>
    <row r="108" spans="1:3" x14ac:dyDescent="0.25">
      <c r="A108" s="1">
        <v>101</v>
      </c>
      <c r="B108" s="1" t="s">
        <v>1</v>
      </c>
      <c r="C108" s="1" t="s">
        <v>959</v>
      </c>
    </row>
    <row r="109" spans="1:3" x14ac:dyDescent="0.25">
      <c r="A109" s="1">
        <v>102</v>
      </c>
      <c r="B109" s="1" t="s">
        <v>1</v>
      </c>
      <c r="C109" s="1" t="s">
        <v>958</v>
      </c>
    </row>
    <row r="110" spans="1:3" x14ac:dyDescent="0.25">
      <c r="A110" s="1">
        <v>103</v>
      </c>
      <c r="B110" s="1" t="s">
        <v>1</v>
      </c>
      <c r="C110" s="1" t="s">
        <v>39</v>
      </c>
    </row>
    <row r="111" spans="1:3" x14ac:dyDescent="0.25">
      <c r="A111" s="1">
        <v>104</v>
      </c>
      <c r="B111" s="1" t="s">
        <v>1</v>
      </c>
      <c r="C111" s="1" t="s">
        <v>38</v>
      </c>
    </row>
    <row r="112" spans="1:3" x14ac:dyDescent="0.25">
      <c r="A112" s="1">
        <v>105</v>
      </c>
      <c r="B112" s="1" t="s">
        <v>1</v>
      </c>
      <c r="C112" s="1" t="s">
        <v>37</v>
      </c>
    </row>
    <row r="113" spans="1:3" x14ac:dyDescent="0.25">
      <c r="A113" s="1">
        <v>106</v>
      </c>
      <c r="B113" s="1" t="s">
        <v>1</v>
      </c>
      <c r="C113" s="1" t="s">
        <v>36</v>
      </c>
    </row>
    <row r="114" spans="1:3" x14ac:dyDescent="0.25">
      <c r="A114" s="1">
        <v>107</v>
      </c>
      <c r="B114" s="1" t="s">
        <v>1</v>
      </c>
      <c r="C114" s="1" t="s">
        <v>35</v>
      </c>
    </row>
    <row r="115" spans="1:3" x14ac:dyDescent="0.25">
      <c r="A115" s="1">
        <v>108</v>
      </c>
      <c r="B115" s="1" t="s">
        <v>1</v>
      </c>
      <c r="C115" s="1" t="s">
        <v>34</v>
      </c>
    </row>
    <row r="116" spans="1:3" x14ac:dyDescent="0.25">
      <c r="A116" s="1">
        <v>109</v>
      </c>
      <c r="B116" s="1" t="s">
        <v>1</v>
      </c>
      <c r="C116" s="1" t="s">
        <v>33</v>
      </c>
    </row>
    <row r="117" spans="1:3" x14ac:dyDescent="0.25">
      <c r="A117" s="1">
        <v>110</v>
      </c>
      <c r="B117" s="1" t="s">
        <v>1</v>
      </c>
      <c r="C117" s="1" t="s">
        <v>28</v>
      </c>
    </row>
    <row r="118" spans="1:3" x14ac:dyDescent="0.25">
      <c r="A118" s="1">
        <v>111</v>
      </c>
      <c r="B118" s="1" t="s">
        <v>1</v>
      </c>
      <c r="C118" s="1" t="s">
        <v>19</v>
      </c>
    </row>
    <row r="119" spans="1:3" x14ac:dyDescent="0.25">
      <c r="A119" s="1">
        <v>112</v>
      </c>
      <c r="B119" s="1" t="s">
        <v>1</v>
      </c>
      <c r="C119" s="1" t="s">
        <v>27</v>
      </c>
    </row>
    <row r="120" spans="1:3" x14ac:dyDescent="0.25">
      <c r="A120" s="1">
        <v>113</v>
      </c>
      <c r="B120" s="1" t="s">
        <v>1</v>
      </c>
      <c r="C120" s="1" t="s">
        <v>26</v>
      </c>
    </row>
    <row r="121" spans="1:3" x14ac:dyDescent="0.25">
      <c r="A121" s="1">
        <v>114</v>
      </c>
      <c r="B121" s="1" t="s">
        <v>1</v>
      </c>
      <c r="C121" s="1" t="s">
        <v>25</v>
      </c>
    </row>
    <row r="122" spans="1:3" x14ac:dyDescent="0.25">
      <c r="A122" s="1">
        <v>115</v>
      </c>
      <c r="B122" s="1" t="s">
        <v>1</v>
      </c>
      <c r="C122" s="1" t="s">
        <v>24</v>
      </c>
    </row>
    <row r="123" spans="1:3" x14ac:dyDescent="0.25">
      <c r="A123" s="1">
        <v>116</v>
      </c>
      <c r="B123" s="1" t="s">
        <v>1</v>
      </c>
      <c r="C123" s="1" t="s">
        <v>23</v>
      </c>
    </row>
    <row r="124" spans="1:3" x14ac:dyDescent="0.25">
      <c r="A124" s="1">
        <v>117</v>
      </c>
      <c r="B124" s="1" t="s">
        <v>1</v>
      </c>
      <c r="C124" s="1" t="s">
        <v>975</v>
      </c>
    </row>
    <row r="125" spans="1:3" x14ac:dyDescent="0.25">
      <c r="A125" s="1">
        <v>118</v>
      </c>
      <c r="B125" s="1" t="s">
        <v>1</v>
      </c>
      <c r="C125" s="1" t="s">
        <v>974</v>
      </c>
    </row>
    <row r="126" spans="1:3" x14ac:dyDescent="0.25">
      <c r="A126" s="1">
        <v>119</v>
      </c>
      <c r="B126" s="1" t="s">
        <v>1</v>
      </c>
      <c r="C126" s="1" t="s">
        <v>976</v>
      </c>
    </row>
    <row r="127" spans="1:3" x14ac:dyDescent="0.25">
      <c r="A127" s="1">
        <v>120</v>
      </c>
      <c r="B127" s="1" t="s">
        <v>1</v>
      </c>
      <c r="C127" s="1" t="s">
        <v>29</v>
      </c>
    </row>
    <row r="128" spans="1:3" x14ac:dyDescent="0.25">
      <c r="A128" s="1">
        <v>121</v>
      </c>
      <c r="B128" s="1" t="s">
        <v>1</v>
      </c>
      <c r="C128" s="1" t="s">
        <v>19</v>
      </c>
    </row>
    <row r="129" spans="1:3" x14ac:dyDescent="0.25">
      <c r="A129" s="1">
        <v>122</v>
      </c>
      <c r="B129" s="1" t="s">
        <v>1</v>
      </c>
      <c r="C129" s="1" t="s">
        <v>18</v>
      </c>
    </row>
    <row r="130" spans="1:3" x14ac:dyDescent="0.25">
      <c r="A130" s="1">
        <v>123</v>
      </c>
      <c r="B130" s="1" t="s">
        <v>1</v>
      </c>
      <c r="C130" s="1" t="s">
        <v>17</v>
      </c>
    </row>
    <row r="131" spans="1:3" x14ac:dyDescent="0.25">
      <c r="A131" s="1">
        <v>124</v>
      </c>
      <c r="B131" s="1" t="s">
        <v>1</v>
      </c>
      <c r="C131" s="1" t="s">
        <v>2</v>
      </c>
    </row>
    <row r="132" spans="1:3" ht="15.75" x14ac:dyDescent="0.3">
      <c r="A132" s="1">
        <v>125</v>
      </c>
      <c r="B132" s="1" t="s">
        <v>1</v>
      </c>
      <c r="C132" s="15" t="s">
        <v>0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D104"/>
  <sheetViews>
    <sheetView topLeftCell="A20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171</v>
      </c>
      <c r="B1" s="5"/>
      <c r="C1" s="5"/>
      <c r="D1" s="12"/>
    </row>
    <row r="2" spans="1:4" x14ac:dyDescent="0.25">
      <c r="A2" s="1" t="s">
        <v>154</v>
      </c>
      <c r="B2" s="1" t="s">
        <v>1</v>
      </c>
      <c r="C2" s="2" t="s">
        <v>153</v>
      </c>
    </row>
    <row r="3" spans="1:4" x14ac:dyDescent="0.25">
      <c r="A3" s="1" t="s">
        <v>152</v>
      </c>
      <c r="B3" s="1" t="s">
        <v>1</v>
      </c>
      <c r="C3" s="2">
        <v>0</v>
      </c>
    </row>
    <row r="4" spans="1:4" x14ac:dyDescent="0.25">
      <c r="A4" s="1" t="s">
        <v>151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150</v>
      </c>
      <c r="B5" s="1" t="s">
        <v>1</v>
      </c>
      <c r="C5" s="2" t="s">
        <v>772</v>
      </c>
    </row>
    <row r="6" spans="1:4" x14ac:dyDescent="0.25">
      <c r="A6" s="1" t="s">
        <v>149</v>
      </c>
      <c r="B6" s="1" t="s">
        <v>1</v>
      </c>
      <c r="C6" s="2" t="s">
        <v>775</v>
      </c>
    </row>
    <row r="7" spans="1:4" x14ac:dyDescent="0.25">
      <c r="A7" s="1" t="s">
        <v>148</v>
      </c>
      <c r="B7" s="1" t="s">
        <v>1</v>
      </c>
      <c r="C7" s="2" t="s">
        <v>773</v>
      </c>
    </row>
    <row r="8" spans="1:4" x14ac:dyDescent="0.25">
      <c r="A8" s="1" t="s">
        <v>147</v>
      </c>
      <c r="B8" s="1" t="s">
        <v>1</v>
      </c>
      <c r="C8" s="2" t="s">
        <v>774</v>
      </c>
    </row>
    <row r="9" spans="1:4" x14ac:dyDescent="0.25">
      <c r="A9" s="1" t="s">
        <v>146</v>
      </c>
      <c r="B9" s="1" t="s">
        <v>1</v>
      </c>
      <c r="C9" s="2" t="s">
        <v>785</v>
      </c>
    </row>
    <row r="10" spans="1:4" x14ac:dyDescent="0.25">
      <c r="A10" s="1" t="s">
        <v>145</v>
      </c>
      <c r="B10" s="1" t="s">
        <v>1</v>
      </c>
      <c r="C10" s="2" t="s">
        <v>781</v>
      </c>
    </row>
    <row r="11" spans="1:4" x14ac:dyDescent="0.25">
      <c r="A11" s="1" t="s">
        <v>144</v>
      </c>
      <c r="B11" s="1" t="s">
        <v>1</v>
      </c>
      <c r="C11" s="2" t="s">
        <v>776</v>
      </c>
    </row>
    <row r="12" spans="1:4" x14ac:dyDescent="0.25">
      <c r="A12" s="1" t="s">
        <v>143</v>
      </c>
      <c r="B12" s="1" t="s">
        <v>1</v>
      </c>
      <c r="C12" s="2" t="s">
        <v>777</v>
      </c>
    </row>
    <row r="13" spans="1:4" x14ac:dyDescent="0.25">
      <c r="A13" s="1" t="s">
        <v>142</v>
      </c>
      <c r="B13" s="1" t="s">
        <v>1</v>
      </c>
      <c r="C13" s="2" t="s">
        <v>786</v>
      </c>
    </row>
    <row r="14" spans="1:4" x14ac:dyDescent="0.25">
      <c r="A14" s="1" t="s">
        <v>141</v>
      </c>
      <c r="B14" s="1" t="s">
        <v>1</v>
      </c>
      <c r="C14" s="2" t="s">
        <v>780</v>
      </c>
    </row>
    <row r="15" spans="1:4" x14ac:dyDescent="0.25">
      <c r="A15" s="1" t="s">
        <v>140</v>
      </c>
      <c r="B15" s="1" t="s">
        <v>1</v>
      </c>
      <c r="C15" s="2" t="s">
        <v>778</v>
      </c>
    </row>
    <row r="16" spans="1:4" x14ac:dyDescent="0.25">
      <c r="A16" s="1" t="s">
        <v>139</v>
      </c>
      <c r="B16" s="1" t="s">
        <v>1</v>
      </c>
      <c r="C16" s="2" t="s">
        <v>779</v>
      </c>
    </row>
    <row r="17" spans="1:3" x14ac:dyDescent="0.25">
      <c r="A17" s="1" t="s">
        <v>138</v>
      </c>
      <c r="B17" s="1" t="s">
        <v>1</v>
      </c>
      <c r="C17" s="2" t="s">
        <v>784</v>
      </c>
    </row>
    <row r="18" spans="1:3" x14ac:dyDescent="0.25">
      <c r="A18" s="1" t="s">
        <v>137</v>
      </c>
      <c r="B18" s="1" t="s">
        <v>1</v>
      </c>
      <c r="C18" s="2" t="s">
        <v>787</v>
      </c>
    </row>
    <row r="19" spans="1:3" x14ac:dyDescent="0.25">
      <c r="A19" s="1" t="s">
        <v>136</v>
      </c>
      <c r="B19" s="1" t="s">
        <v>1</v>
      </c>
      <c r="C19" s="2" t="s">
        <v>782</v>
      </c>
    </row>
    <row r="20" spans="1:3" x14ac:dyDescent="0.25">
      <c r="A20" s="1" t="s">
        <v>135</v>
      </c>
      <c r="B20" s="1" t="s">
        <v>1</v>
      </c>
      <c r="C20" s="2" t="s">
        <v>783</v>
      </c>
    </row>
    <row r="21" spans="1:3" x14ac:dyDescent="0.25">
      <c r="A21" s="1" t="s">
        <v>134</v>
      </c>
      <c r="B21" s="1" t="s">
        <v>1</v>
      </c>
      <c r="C21" s="2" t="s">
        <v>788</v>
      </c>
    </row>
    <row r="22" spans="1:3" x14ac:dyDescent="0.25">
      <c r="A22" s="1" t="s">
        <v>133</v>
      </c>
      <c r="B22" s="1" t="s">
        <v>1</v>
      </c>
      <c r="C22" s="2" t="s">
        <v>789</v>
      </c>
    </row>
    <row r="23" spans="1:3" x14ac:dyDescent="0.25">
      <c r="A23" s="1" t="s">
        <v>132</v>
      </c>
      <c r="B23" s="1" t="s">
        <v>1</v>
      </c>
      <c r="C23" s="2" t="s">
        <v>790</v>
      </c>
    </row>
    <row r="24" spans="1:3" x14ac:dyDescent="0.25">
      <c r="A24" s="1" t="s">
        <v>131</v>
      </c>
      <c r="B24" s="1" t="s">
        <v>1</v>
      </c>
      <c r="C24" s="2" t="s">
        <v>791</v>
      </c>
    </row>
    <row r="25" spans="1:3" x14ac:dyDescent="0.25">
      <c r="A25" s="1" t="s">
        <v>130</v>
      </c>
      <c r="B25" s="1" t="s">
        <v>1</v>
      </c>
      <c r="C25" s="2" t="s">
        <v>792</v>
      </c>
    </row>
    <row r="26" spans="1:3" x14ac:dyDescent="0.25">
      <c r="A26" s="1" t="s">
        <v>129</v>
      </c>
      <c r="B26" s="1" t="s">
        <v>1</v>
      </c>
      <c r="C26" s="2" t="s">
        <v>793</v>
      </c>
    </row>
    <row r="27" spans="1:3" x14ac:dyDescent="0.25">
      <c r="A27" s="1" t="s">
        <v>128</v>
      </c>
      <c r="B27" s="1" t="s">
        <v>1</v>
      </c>
      <c r="C27" s="2" t="s">
        <v>794</v>
      </c>
    </row>
    <row r="28" spans="1:3" x14ac:dyDescent="0.25">
      <c r="A28" s="1" t="s">
        <v>127</v>
      </c>
      <c r="B28" s="1" t="s">
        <v>1</v>
      </c>
      <c r="C28" s="2" t="s">
        <v>795</v>
      </c>
    </row>
    <row r="29" spans="1:3" x14ac:dyDescent="0.25">
      <c r="A29" s="1" t="s">
        <v>126</v>
      </c>
      <c r="B29" s="1" t="s">
        <v>1</v>
      </c>
      <c r="C29" s="2" t="s">
        <v>796</v>
      </c>
    </row>
    <row r="30" spans="1:3" x14ac:dyDescent="0.25">
      <c r="A30" s="1" t="s">
        <v>125</v>
      </c>
      <c r="B30" s="1" t="s">
        <v>1</v>
      </c>
      <c r="C30" s="2" t="s">
        <v>797</v>
      </c>
    </row>
    <row r="31" spans="1:3" x14ac:dyDescent="0.25">
      <c r="A31" s="1" t="s">
        <v>124</v>
      </c>
      <c r="B31" s="1" t="s">
        <v>1</v>
      </c>
      <c r="C31" s="2" t="s">
        <v>798</v>
      </c>
    </row>
    <row r="32" spans="1:3" x14ac:dyDescent="0.25">
      <c r="A32" s="1" t="s">
        <v>123</v>
      </c>
      <c r="B32" s="1" t="s">
        <v>1</v>
      </c>
      <c r="C32" s="2" t="s">
        <v>799</v>
      </c>
    </row>
    <row r="33" spans="1:3" x14ac:dyDescent="0.25">
      <c r="A33" s="1" t="s">
        <v>122</v>
      </c>
      <c r="B33" s="1" t="s">
        <v>1</v>
      </c>
      <c r="C33" s="2" t="s">
        <v>940</v>
      </c>
    </row>
    <row r="34" spans="1:3" x14ac:dyDescent="0.25">
      <c r="A34" s="1" t="s">
        <v>121</v>
      </c>
      <c r="B34" s="1" t="s">
        <v>1</v>
      </c>
      <c r="C34" s="2" t="s">
        <v>800</v>
      </c>
    </row>
    <row r="35" spans="1:3" x14ac:dyDescent="0.25">
      <c r="A35" s="1" t="s">
        <v>657</v>
      </c>
      <c r="B35" s="1" t="s">
        <v>1</v>
      </c>
      <c r="C35" s="2" t="s">
        <v>818</v>
      </c>
    </row>
    <row r="36" spans="1:3" x14ac:dyDescent="0.25">
      <c r="A36" s="1" t="s">
        <v>658</v>
      </c>
      <c r="B36" s="1" t="s">
        <v>1</v>
      </c>
      <c r="C36" s="2" t="s">
        <v>817</v>
      </c>
    </row>
    <row r="37" spans="1:3" x14ac:dyDescent="0.25">
      <c r="A37" s="1" t="s">
        <v>659</v>
      </c>
      <c r="B37" s="1" t="s">
        <v>1</v>
      </c>
      <c r="C37" s="2" t="s">
        <v>819</v>
      </c>
    </row>
    <row r="38" spans="1:3" x14ac:dyDescent="0.25">
      <c r="A38" s="1" t="s">
        <v>660</v>
      </c>
      <c r="B38" s="1" t="s">
        <v>1</v>
      </c>
      <c r="C38" s="2" t="s">
        <v>820</v>
      </c>
    </row>
    <row r="39" spans="1:3" x14ac:dyDescent="0.25">
      <c r="A39" s="1" t="s">
        <v>661</v>
      </c>
      <c r="B39" s="1" t="s">
        <v>1</v>
      </c>
      <c r="C39" s="2" t="s">
        <v>942</v>
      </c>
    </row>
    <row r="40" spans="1:3" x14ac:dyDescent="0.25">
      <c r="A40" s="1" t="s">
        <v>802</v>
      </c>
      <c r="B40" s="1" t="s">
        <v>1</v>
      </c>
      <c r="C40" s="2" t="s">
        <v>943</v>
      </c>
    </row>
    <row r="41" spans="1:3" x14ac:dyDescent="0.25">
      <c r="A41" s="1" t="s">
        <v>803</v>
      </c>
      <c r="B41" s="1" t="s">
        <v>1</v>
      </c>
      <c r="C41" s="2" t="s">
        <v>944</v>
      </c>
    </row>
    <row r="42" spans="1:3" x14ac:dyDescent="0.25">
      <c r="A42" s="1" t="s">
        <v>804</v>
      </c>
      <c r="B42" s="1" t="s">
        <v>1</v>
      </c>
      <c r="C42" s="2" t="s">
        <v>945</v>
      </c>
    </row>
    <row r="43" spans="1:3" x14ac:dyDescent="0.25">
      <c r="A43" s="1" t="s">
        <v>805</v>
      </c>
      <c r="B43" s="1" t="s">
        <v>1</v>
      </c>
      <c r="C43" s="2" t="s">
        <v>822</v>
      </c>
    </row>
    <row r="44" spans="1:3" x14ac:dyDescent="0.25">
      <c r="A44" s="1" t="s">
        <v>806</v>
      </c>
      <c r="B44" s="1" t="s">
        <v>1</v>
      </c>
      <c r="C44" s="2" t="s">
        <v>821</v>
      </c>
    </row>
    <row r="45" spans="1:3" x14ac:dyDescent="0.25">
      <c r="A45" s="1" t="s">
        <v>807</v>
      </c>
      <c r="B45" s="1" t="s">
        <v>1</v>
      </c>
      <c r="C45" s="2" t="s">
        <v>823</v>
      </c>
    </row>
    <row r="46" spans="1:3" x14ac:dyDescent="0.25">
      <c r="A46" s="1" t="s">
        <v>808</v>
      </c>
      <c r="B46" s="1" t="s">
        <v>1</v>
      </c>
      <c r="C46" s="1" t="s">
        <v>824</v>
      </c>
    </row>
    <row r="47" spans="1:3" x14ac:dyDescent="0.25">
      <c r="A47" s="1" t="s">
        <v>809</v>
      </c>
      <c r="B47" s="1" t="s">
        <v>1</v>
      </c>
      <c r="C47" s="2" t="s">
        <v>825</v>
      </c>
    </row>
    <row r="48" spans="1:3" x14ac:dyDescent="0.25">
      <c r="A48" s="1" t="s">
        <v>810</v>
      </c>
      <c r="B48" s="1" t="s">
        <v>1</v>
      </c>
      <c r="C48" s="2" t="s">
        <v>935</v>
      </c>
    </row>
    <row r="49" spans="1:4" x14ac:dyDescent="0.25">
      <c r="A49" s="1" t="s">
        <v>811</v>
      </c>
      <c r="B49" s="1" t="s">
        <v>1</v>
      </c>
      <c r="C49" s="2" t="s">
        <v>933</v>
      </c>
    </row>
    <row r="50" spans="1:4" x14ac:dyDescent="0.25">
      <c r="A50" s="1" t="s">
        <v>812</v>
      </c>
      <c r="B50" s="1" t="s">
        <v>1</v>
      </c>
      <c r="C50" s="2" t="s">
        <v>934</v>
      </c>
    </row>
    <row r="51" spans="1:4" x14ac:dyDescent="0.25">
      <c r="A51" s="1" t="s">
        <v>813</v>
      </c>
      <c r="B51" s="1" t="s">
        <v>1</v>
      </c>
      <c r="C51" s="2" t="s">
        <v>826</v>
      </c>
    </row>
    <row r="52" spans="1:4" x14ac:dyDescent="0.25">
      <c r="A52" s="1" t="s">
        <v>814</v>
      </c>
      <c r="B52" s="1" t="s">
        <v>1</v>
      </c>
      <c r="C52" s="2" t="s">
        <v>827</v>
      </c>
    </row>
    <row r="53" spans="1:4" x14ac:dyDescent="0.25">
      <c r="A53" s="1" t="s">
        <v>815</v>
      </c>
      <c r="B53" s="1" t="s">
        <v>1</v>
      </c>
      <c r="C53" s="2" t="s">
        <v>828</v>
      </c>
    </row>
    <row r="54" spans="1:4" x14ac:dyDescent="0.25">
      <c r="A54" s="1" t="s">
        <v>816</v>
      </c>
      <c r="B54" s="1" t="s">
        <v>1</v>
      </c>
      <c r="C54" s="2" t="s">
        <v>829</v>
      </c>
    </row>
    <row r="55" spans="1:4" x14ac:dyDescent="0.25">
      <c r="A55" s="1" t="s">
        <v>120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119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118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117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116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115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114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113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112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111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110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109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108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107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106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105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104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103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102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101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100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99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98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97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96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95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94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93</v>
      </c>
      <c r="B82" s="1" t="s">
        <v>1</v>
      </c>
      <c r="C82" s="2" t="str">
        <f>".equ PostShiftA,                " &amp; D82</f>
        <v>.equ PostShiftA,                54</v>
      </c>
      <c r="D82" s="13">
        <v>54</v>
      </c>
    </row>
    <row r="83" spans="1:4" x14ac:dyDescent="0.25">
      <c r="A83" s="1" t="s">
        <v>92</v>
      </c>
      <c r="B83" s="1" t="s">
        <v>1</v>
      </c>
      <c r="C83" s="2" t="str">
        <f>".equ PostShiftB,                " &amp; D83</f>
        <v>.equ PostShiftB,                56</v>
      </c>
      <c r="D83" s="13">
        <v>56</v>
      </c>
    </row>
    <row r="84" spans="1:4" x14ac:dyDescent="0.25">
      <c r="A84" s="1" t="s">
        <v>91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652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653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654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655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656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758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759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760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761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762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763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764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765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766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767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768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769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770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771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830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C137"/>
  <sheetViews>
    <sheetView topLeftCell="A103" zoomScale="115" zoomScaleNormal="115" workbookViewId="0">
      <selection activeCell="C5" sqref="C5"/>
    </sheetView>
  </sheetViews>
  <sheetFormatPr defaultRowHeight="15" x14ac:dyDescent="0.25"/>
  <cols>
    <col min="1" max="1" width="14.285156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170</v>
      </c>
      <c r="B1" s="5"/>
      <c r="C1" s="5"/>
    </row>
    <row r="2" spans="1:3" x14ac:dyDescent="0.25">
      <c r="A2" s="1" t="s">
        <v>169</v>
      </c>
      <c r="C2" s="2"/>
    </row>
    <row r="3" spans="1:3" x14ac:dyDescent="0.25">
      <c r="A3" s="1" t="s">
        <v>158</v>
      </c>
      <c r="C3" s="2"/>
    </row>
    <row r="4" spans="1:3" x14ac:dyDescent="0.25">
      <c r="A4" s="1" t="s">
        <v>79</v>
      </c>
      <c r="B4" s="1" t="s">
        <v>1</v>
      </c>
      <c r="C4" s="2" t="s">
        <v>1031</v>
      </c>
    </row>
    <row r="5" spans="1:3" x14ac:dyDescent="0.25">
      <c r="A5" s="1" t="s">
        <v>78</v>
      </c>
      <c r="B5" s="1" t="s">
        <v>1</v>
      </c>
      <c r="C5" s="2" t="s">
        <v>168</v>
      </c>
    </row>
    <row r="6" spans="1:3" x14ac:dyDescent="0.25">
      <c r="A6" s="1" t="s">
        <v>76</v>
      </c>
      <c r="B6" s="1" t="s">
        <v>1</v>
      </c>
      <c r="C6" s="9">
        <f>COUNTA(A:A)-6</f>
        <v>131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167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ht="15.75" x14ac:dyDescent="0.3">
      <c r="A13" s="1">
        <v>6</v>
      </c>
      <c r="B13" s="1" t="s">
        <v>1</v>
      </c>
      <c r="C13" s="15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41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166</v>
      </c>
    </row>
    <row r="43" spans="1:3" x14ac:dyDescent="0.25">
      <c r="A43" s="1">
        <v>36</v>
      </c>
      <c r="B43" s="1" t="s">
        <v>1</v>
      </c>
      <c r="C43" s="2" t="s">
        <v>165</v>
      </c>
    </row>
    <row r="44" spans="1:3" x14ac:dyDescent="0.25">
      <c r="A44" s="1">
        <v>37</v>
      </c>
      <c r="B44" s="1" t="s">
        <v>1</v>
      </c>
      <c r="C44" s="2" t="s">
        <v>164</v>
      </c>
    </row>
    <row r="45" spans="1:3" x14ac:dyDescent="0.25">
      <c r="A45" s="1">
        <v>38</v>
      </c>
      <c r="B45" s="1" t="s">
        <v>1</v>
      </c>
      <c r="C45" s="1" t="s">
        <v>723</v>
      </c>
    </row>
    <row r="46" spans="1:3" x14ac:dyDescent="0.25">
      <c r="A46" s="1">
        <v>39</v>
      </c>
      <c r="B46" s="1" t="s">
        <v>1</v>
      </c>
      <c r="C46" s="1" t="s">
        <v>724</v>
      </c>
    </row>
    <row r="47" spans="1:3" x14ac:dyDescent="0.25">
      <c r="A47" s="1">
        <v>40</v>
      </c>
      <c r="B47" s="1" t="s">
        <v>1</v>
      </c>
      <c r="C47" s="1" t="s">
        <v>726</v>
      </c>
    </row>
    <row r="48" spans="1:3" x14ac:dyDescent="0.25">
      <c r="A48" s="1">
        <v>41</v>
      </c>
      <c r="B48" s="1" t="s">
        <v>1</v>
      </c>
      <c r="C48" s="1" t="s">
        <v>727</v>
      </c>
    </row>
    <row r="49" spans="1:3" x14ac:dyDescent="0.25">
      <c r="A49" s="1">
        <v>42</v>
      </c>
      <c r="B49" s="1" t="s">
        <v>1</v>
      </c>
      <c r="C49" s="1" t="s">
        <v>725</v>
      </c>
    </row>
    <row r="50" spans="1:3" x14ac:dyDescent="0.25">
      <c r="A50" s="1">
        <v>43</v>
      </c>
      <c r="B50" s="1" t="s">
        <v>1</v>
      </c>
      <c r="C50" s="2" t="s">
        <v>163</v>
      </c>
    </row>
    <row r="51" spans="1:3" x14ac:dyDescent="0.25">
      <c r="A51" s="1">
        <v>44</v>
      </c>
      <c r="B51" s="1" t="s">
        <v>1</v>
      </c>
      <c r="C51" s="2" t="s">
        <v>162</v>
      </c>
    </row>
    <row r="52" spans="1:3" x14ac:dyDescent="0.25">
      <c r="A52" s="1">
        <v>45</v>
      </c>
      <c r="B52" s="1" t="s">
        <v>1</v>
      </c>
      <c r="C52" s="2" t="s">
        <v>40</v>
      </c>
    </row>
    <row r="53" spans="1:3" x14ac:dyDescent="0.25">
      <c r="A53" s="1">
        <v>46</v>
      </c>
      <c r="B53" s="1" t="s">
        <v>1</v>
      </c>
      <c r="C53" s="2" t="s">
        <v>39</v>
      </c>
    </row>
    <row r="54" spans="1:3" x14ac:dyDescent="0.25">
      <c r="A54" s="1">
        <v>47</v>
      </c>
      <c r="B54" s="1" t="s">
        <v>1</v>
      </c>
      <c r="C54" s="2" t="s">
        <v>38</v>
      </c>
    </row>
    <row r="55" spans="1:3" x14ac:dyDescent="0.25">
      <c r="A55" s="1">
        <v>48</v>
      </c>
      <c r="B55" s="1" t="s">
        <v>1</v>
      </c>
      <c r="C55" s="2" t="s">
        <v>37</v>
      </c>
    </row>
    <row r="56" spans="1:3" x14ac:dyDescent="0.25">
      <c r="A56" s="1">
        <v>49</v>
      </c>
      <c r="B56" s="1" t="s">
        <v>1</v>
      </c>
      <c r="C56" s="2" t="s">
        <v>36</v>
      </c>
    </row>
    <row r="57" spans="1:3" x14ac:dyDescent="0.25">
      <c r="A57" s="1">
        <v>50</v>
      </c>
      <c r="B57" s="1" t="s">
        <v>1</v>
      </c>
      <c r="C57" s="2" t="s">
        <v>35</v>
      </c>
    </row>
    <row r="58" spans="1:3" x14ac:dyDescent="0.25">
      <c r="A58" s="1">
        <v>51</v>
      </c>
      <c r="B58" s="1" t="s">
        <v>1</v>
      </c>
      <c r="C58" s="2" t="s">
        <v>34</v>
      </c>
    </row>
    <row r="59" spans="1:3" x14ac:dyDescent="0.25">
      <c r="A59" s="1">
        <v>52</v>
      </c>
      <c r="B59" s="1" t="s">
        <v>1</v>
      </c>
      <c r="C59" s="2" t="s">
        <v>33</v>
      </c>
    </row>
    <row r="60" spans="1:3" x14ac:dyDescent="0.25">
      <c r="A60" s="1">
        <v>53</v>
      </c>
      <c r="B60" s="1" t="s">
        <v>1</v>
      </c>
      <c r="C60" s="2" t="s">
        <v>32</v>
      </c>
    </row>
    <row r="61" spans="1:3" x14ac:dyDescent="0.25">
      <c r="A61" s="1">
        <v>54</v>
      </c>
      <c r="B61" s="1" t="s">
        <v>1</v>
      </c>
      <c r="C61" s="2" t="s">
        <v>31</v>
      </c>
    </row>
    <row r="62" spans="1:3" x14ac:dyDescent="0.25">
      <c r="A62" s="1">
        <v>55</v>
      </c>
      <c r="B62" s="1" t="s">
        <v>1</v>
      </c>
      <c r="C62" s="2" t="s">
        <v>30</v>
      </c>
    </row>
    <row r="63" spans="1:3" x14ac:dyDescent="0.25">
      <c r="A63" s="1">
        <v>56</v>
      </c>
      <c r="B63" s="1" t="s">
        <v>1</v>
      </c>
      <c r="C63" s="2" t="s">
        <v>28</v>
      </c>
    </row>
    <row r="64" spans="1:3" x14ac:dyDescent="0.25">
      <c r="A64" s="1">
        <v>57</v>
      </c>
      <c r="B64" s="1" t="s">
        <v>1</v>
      </c>
      <c r="C64" s="2" t="s">
        <v>19</v>
      </c>
    </row>
    <row r="65" spans="1:3" x14ac:dyDescent="0.25">
      <c r="A65" s="1">
        <v>58</v>
      </c>
      <c r="B65" s="1" t="s">
        <v>1</v>
      </c>
      <c r="C65" s="2" t="s">
        <v>27</v>
      </c>
    </row>
    <row r="66" spans="1:3" x14ac:dyDescent="0.25">
      <c r="A66" s="1">
        <v>59</v>
      </c>
      <c r="B66" s="1" t="s">
        <v>1</v>
      </c>
      <c r="C66" s="2" t="s">
        <v>26</v>
      </c>
    </row>
    <row r="67" spans="1:3" x14ac:dyDescent="0.25">
      <c r="A67" s="1">
        <v>60</v>
      </c>
      <c r="B67" s="1" t="s">
        <v>1</v>
      </c>
      <c r="C67" s="2" t="s">
        <v>25</v>
      </c>
    </row>
    <row r="68" spans="1:3" x14ac:dyDescent="0.25">
      <c r="A68" s="1">
        <v>61</v>
      </c>
      <c r="B68" s="1" t="s">
        <v>1</v>
      </c>
      <c r="C68" s="2" t="s">
        <v>24</v>
      </c>
    </row>
    <row r="69" spans="1:3" x14ac:dyDescent="0.25">
      <c r="A69" s="1">
        <v>62</v>
      </c>
      <c r="B69" s="1" t="s">
        <v>1</v>
      </c>
      <c r="C69" s="2" t="s">
        <v>23</v>
      </c>
    </row>
    <row r="70" spans="1:3" x14ac:dyDescent="0.25">
      <c r="A70" s="1">
        <v>63</v>
      </c>
      <c r="B70" s="1" t="s">
        <v>1</v>
      </c>
      <c r="C70" s="2" t="s">
        <v>22</v>
      </c>
    </row>
    <row r="71" spans="1:3" x14ac:dyDescent="0.25">
      <c r="A71" s="1">
        <v>64</v>
      </c>
      <c r="B71" s="1" t="s">
        <v>1</v>
      </c>
      <c r="C71" s="2" t="s">
        <v>21</v>
      </c>
    </row>
    <row r="72" spans="1:3" x14ac:dyDescent="0.25">
      <c r="A72" s="1">
        <v>65</v>
      </c>
      <c r="B72" s="1" t="s">
        <v>1</v>
      </c>
      <c r="C72" s="2" t="s">
        <v>20</v>
      </c>
    </row>
    <row r="73" spans="1:3" x14ac:dyDescent="0.25">
      <c r="A73" s="1">
        <v>66</v>
      </c>
      <c r="B73" s="1" t="s">
        <v>1</v>
      </c>
      <c r="C73" s="2" t="s">
        <v>29</v>
      </c>
    </row>
    <row r="74" spans="1:3" x14ac:dyDescent="0.25">
      <c r="A74" s="1">
        <v>67</v>
      </c>
      <c r="B74" s="1" t="s">
        <v>1</v>
      </c>
      <c r="C74" s="2" t="s">
        <v>19</v>
      </c>
    </row>
    <row r="75" spans="1:3" x14ac:dyDescent="0.25">
      <c r="A75" s="1">
        <v>68</v>
      </c>
      <c r="B75" s="1" t="s">
        <v>1</v>
      </c>
      <c r="C75" s="2" t="s">
        <v>18</v>
      </c>
    </row>
    <row r="76" spans="1:3" x14ac:dyDescent="0.25">
      <c r="A76" s="1">
        <v>69</v>
      </c>
      <c r="B76" s="1" t="s">
        <v>1</v>
      </c>
      <c r="C76" s="2" t="s">
        <v>17</v>
      </c>
    </row>
    <row r="77" spans="1:3" x14ac:dyDescent="0.25">
      <c r="A77" s="1">
        <v>70</v>
      </c>
      <c r="B77" s="1" t="s">
        <v>1</v>
      </c>
      <c r="C77" s="2" t="s">
        <v>2</v>
      </c>
    </row>
    <row r="78" spans="1:3" ht="15.75" x14ac:dyDescent="0.3">
      <c r="A78" s="1">
        <v>71</v>
      </c>
      <c r="B78" s="1" t="s">
        <v>1</v>
      </c>
      <c r="C78" s="15" t="s">
        <v>16</v>
      </c>
    </row>
    <row r="79" spans="1:3" x14ac:dyDescent="0.25">
      <c r="A79" s="1">
        <v>72</v>
      </c>
      <c r="B79" s="1" t="s">
        <v>1</v>
      </c>
      <c r="C79" s="2" t="s">
        <v>15</v>
      </c>
    </row>
    <row r="80" spans="1:3" x14ac:dyDescent="0.25">
      <c r="A80" s="1">
        <v>73</v>
      </c>
      <c r="B80" s="1" t="s">
        <v>1</v>
      </c>
      <c r="C80" s="2" t="s">
        <v>14</v>
      </c>
    </row>
    <row r="81" spans="1:3" x14ac:dyDescent="0.25">
      <c r="A81" s="1">
        <v>74</v>
      </c>
      <c r="B81" s="1" t="s">
        <v>1</v>
      </c>
      <c r="C81" s="2" t="s">
        <v>13</v>
      </c>
    </row>
    <row r="82" spans="1:3" x14ac:dyDescent="0.25">
      <c r="A82" s="1">
        <v>75</v>
      </c>
      <c r="B82" s="1" t="s">
        <v>1</v>
      </c>
      <c r="C82" s="2" t="s">
        <v>12</v>
      </c>
    </row>
    <row r="83" spans="1:3" x14ac:dyDescent="0.25">
      <c r="A83" s="1">
        <v>76</v>
      </c>
      <c r="B83" s="1" t="s">
        <v>1</v>
      </c>
      <c r="C83" s="2" t="s">
        <v>11</v>
      </c>
    </row>
    <row r="84" spans="1:3" x14ac:dyDescent="0.25">
      <c r="A84" s="1">
        <v>77</v>
      </c>
      <c r="B84" s="1" t="s">
        <v>1</v>
      </c>
      <c r="C84" s="2" t="s">
        <v>10</v>
      </c>
    </row>
    <row r="85" spans="1:3" x14ac:dyDescent="0.25">
      <c r="A85" s="1">
        <v>78</v>
      </c>
      <c r="B85" s="1" t="s">
        <v>1</v>
      </c>
      <c r="C85" s="2" t="s">
        <v>2</v>
      </c>
    </row>
    <row r="86" spans="1:3" ht="15.75" x14ac:dyDescent="0.3">
      <c r="A86" s="1">
        <v>79</v>
      </c>
      <c r="B86" s="1" t="s">
        <v>1</v>
      </c>
      <c r="C86" s="15" t="s">
        <v>9</v>
      </c>
    </row>
    <row r="87" spans="1:3" x14ac:dyDescent="0.25">
      <c r="A87" s="1">
        <v>80</v>
      </c>
      <c r="B87" s="1" t="s">
        <v>1</v>
      </c>
      <c r="C87" s="2" t="s">
        <v>8</v>
      </c>
    </row>
    <row r="88" spans="1:3" x14ac:dyDescent="0.25">
      <c r="A88" s="1">
        <v>81</v>
      </c>
      <c r="B88" s="1" t="s">
        <v>1</v>
      </c>
      <c r="C88" s="2" t="s">
        <v>7</v>
      </c>
    </row>
    <row r="89" spans="1:3" x14ac:dyDescent="0.25">
      <c r="A89" s="1">
        <v>82</v>
      </c>
      <c r="B89" s="1" t="s">
        <v>1</v>
      </c>
      <c r="C89" s="2" t="s">
        <v>6</v>
      </c>
    </row>
    <row r="90" spans="1:3" x14ac:dyDescent="0.25">
      <c r="A90" s="1">
        <v>83</v>
      </c>
      <c r="B90" s="1" t="s">
        <v>1</v>
      </c>
      <c r="C90" s="2" t="s">
        <v>5</v>
      </c>
    </row>
    <row r="91" spans="1:3" x14ac:dyDescent="0.25">
      <c r="A91" s="1">
        <v>84</v>
      </c>
      <c r="B91" s="1" t="s">
        <v>1</v>
      </c>
      <c r="C91" s="2" t="s">
        <v>4</v>
      </c>
    </row>
    <row r="92" spans="1:3" x14ac:dyDescent="0.25">
      <c r="A92" s="1">
        <v>85</v>
      </c>
      <c r="B92" s="1" t="s">
        <v>1</v>
      </c>
      <c r="C92" s="2" t="s">
        <v>3</v>
      </c>
    </row>
    <row r="93" spans="1:3" x14ac:dyDescent="0.25">
      <c r="A93" s="1">
        <v>86</v>
      </c>
      <c r="B93" s="1" t="s">
        <v>1</v>
      </c>
      <c r="C93" s="2" t="s">
        <v>2</v>
      </c>
    </row>
    <row r="94" spans="1:3" ht="15.75" x14ac:dyDescent="0.3">
      <c r="A94" s="1">
        <v>80</v>
      </c>
      <c r="B94" s="1" t="s">
        <v>1</v>
      </c>
      <c r="C94" s="14" t="s">
        <v>948</v>
      </c>
    </row>
    <row r="95" spans="1:3" x14ac:dyDescent="0.25">
      <c r="A95" s="1">
        <v>81</v>
      </c>
      <c r="B95" s="1" t="s">
        <v>1</v>
      </c>
      <c r="C95" s="1" t="s">
        <v>65</v>
      </c>
    </row>
    <row r="96" spans="1:3" x14ac:dyDescent="0.25">
      <c r="A96" s="1">
        <v>82</v>
      </c>
      <c r="B96" s="1" t="s">
        <v>1</v>
      </c>
      <c r="C96" s="1" t="s">
        <v>68</v>
      </c>
    </row>
    <row r="97" spans="1:3" x14ac:dyDescent="0.25">
      <c r="A97" s="1">
        <v>83</v>
      </c>
      <c r="B97" s="1" t="s">
        <v>1</v>
      </c>
      <c r="C97" s="1" t="s">
        <v>67</v>
      </c>
    </row>
    <row r="98" spans="1:3" x14ac:dyDescent="0.25">
      <c r="A98" s="1">
        <v>84</v>
      </c>
      <c r="B98" s="1" t="s">
        <v>1</v>
      </c>
      <c r="C98" s="1" t="s">
        <v>977</v>
      </c>
    </row>
    <row r="99" spans="1:3" x14ac:dyDescent="0.25">
      <c r="A99" s="1">
        <v>85</v>
      </c>
      <c r="B99" s="1" t="s">
        <v>1</v>
      </c>
      <c r="C99" s="1" t="s">
        <v>65</v>
      </c>
    </row>
    <row r="100" spans="1:3" x14ac:dyDescent="0.25">
      <c r="A100" s="1">
        <v>86</v>
      </c>
      <c r="B100" s="1" t="s">
        <v>1</v>
      </c>
      <c r="C100" s="1" t="s">
        <v>64</v>
      </c>
    </row>
    <row r="101" spans="1:3" x14ac:dyDescent="0.25">
      <c r="A101" s="1">
        <v>87</v>
      </c>
      <c r="B101" s="1" t="s">
        <v>1</v>
      </c>
      <c r="C101" s="1" t="s">
        <v>63</v>
      </c>
    </row>
    <row r="102" spans="1:3" x14ac:dyDescent="0.25">
      <c r="A102" s="1">
        <v>88</v>
      </c>
      <c r="B102" s="1" t="s">
        <v>1</v>
      </c>
      <c r="C102" s="1" t="s">
        <v>62</v>
      </c>
    </row>
    <row r="103" spans="1:3" x14ac:dyDescent="0.25">
      <c r="A103" s="1">
        <v>89</v>
      </c>
      <c r="B103" s="1" t="s">
        <v>1</v>
      </c>
      <c r="C103" s="1" t="s">
        <v>61</v>
      </c>
    </row>
    <row r="104" spans="1:3" x14ac:dyDescent="0.25">
      <c r="A104" s="1">
        <v>90</v>
      </c>
      <c r="B104" s="1" t="s">
        <v>1</v>
      </c>
      <c r="C104" s="1" t="s">
        <v>60</v>
      </c>
    </row>
    <row r="105" spans="1:3" x14ac:dyDescent="0.25">
      <c r="A105" s="1">
        <v>91</v>
      </c>
      <c r="B105" s="1" t="s">
        <v>1</v>
      </c>
      <c r="C105" s="1" t="s">
        <v>59</v>
      </c>
    </row>
    <row r="106" spans="1:3" x14ac:dyDescent="0.25">
      <c r="A106" s="1">
        <v>92</v>
      </c>
      <c r="B106" s="1" t="s">
        <v>1</v>
      </c>
      <c r="C106" s="1" t="s">
        <v>53</v>
      </c>
    </row>
    <row r="107" spans="1:3" x14ac:dyDescent="0.25">
      <c r="A107" s="1">
        <v>93</v>
      </c>
      <c r="B107" s="1" t="s">
        <v>1</v>
      </c>
      <c r="C107" s="1" t="s">
        <v>52</v>
      </c>
    </row>
    <row r="108" spans="1:3" x14ac:dyDescent="0.25">
      <c r="A108" s="1">
        <v>94</v>
      </c>
      <c r="B108" s="1" t="s">
        <v>1</v>
      </c>
      <c r="C108" s="1" t="s">
        <v>51</v>
      </c>
    </row>
    <row r="109" spans="1:3" x14ac:dyDescent="0.25">
      <c r="A109" s="1">
        <v>95</v>
      </c>
      <c r="B109" s="1" t="s">
        <v>1</v>
      </c>
      <c r="C109" s="1" t="s">
        <v>50</v>
      </c>
    </row>
    <row r="110" spans="1:3" x14ac:dyDescent="0.25">
      <c r="A110" s="1">
        <v>96</v>
      </c>
      <c r="B110" s="1" t="s">
        <v>1</v>
      </c>
      <c r="C110" s="1" t="s">
        <v>49</v>
      </c>
    </row>
    <row r="111" spans="1:3" x14ac:dyDescent="0.25">
      <c r="A111" s="1">
        <v>97</v>
      </c>
      <c r="B111" s="1" t="s">
        <v>1</v>
      </c>
      <c r="C111" s="1" t="s">
        <v>48</v>
      </c>
    </row>
    <row r="112" spans="1:3" x14ac:dyDescent="0.25">
      <c r="A112" s="1">
        <v>98</v>
      </c>
      <c r="B112" s="1" t="s">
        <v>1</v>
      </c>
      <c r="C112" s="1" t="s">
        <v>47</v>
      </c>
    </row>
    <row r="113" spans="1:3" x14ac:dyDescent="0.25">
      <c r="A113" s="1">
        <v>99</v>
      </c>
      <c r="B113" s="1" t="s">
        <v>1</v>
      </c>
      <c r="C113" s="1" t="s">
        <v>959</v>
      </c>
    </row>
    <row r="114" spans="1:3" x14ac:dyDescent="0.25">
      <c r="A114" s="1">
        <v>100</v>
      </c>
      <c r="B114" s="1" t="s">
        <v>1</v>
      </c>
      <c r="C114" s="1" t="s">
        <v>958</v>
      </c>
    </row>
    <row r="115" spans="1:3" x14ac:dyDescent="0.25">
      <c r="A115" s="1">
        <v>101</v>
      </c>
      <c r="B115" s="1" t="s">
        <v>1</v>
      </c>
      <c r="C115" s="1" t="s">
        <v>39</v>
      </c>
    </row>
    <row r="116" spans="1:3" x14ac:dyDescent="0.25">
      <c r="A116" s="1">
        <v>102</v>
      </c>
      <c r="B116" s="1" t="s">
        <v>1</v>
      </c>
      <c r="C116" s="1" t="s">
        <v>38</v>
      </c>
    </row>
    <row r="117" spans="1:3" x14ac:dyDescent="0.25">
      <c r="A117" s="1">
        <v>103</v>
      </c>
      <c r="B117" s="1" t="s">
        <v>1</v>
      </c>
      <c r="C117" s="1" t="s">
        <v>37</v>
      </c>
    </row>
    <row r="118" spans="1:3" x14ac:dyDescent="0.25">
      <c r="A118" s="1">
        <v>104</v>
      </c>
      <c r="B118" s="1" t="s">
        <v>1</v>
      </c>
      <c r="C118" s="1" t="s">
        <v>36</v>
      </c>
    </row>
    <row r="119" spans="1:3" x14ac:dyDescent="0.25">
      <c r="A119" s="1">
        <v>105</v>
      </c>
      <c r="B119" s="1" t="s">
        <v>1</v>
      </c>
      <c r="C119" s="1" t="s">
        <v>35</v>
      </c>
    </row>
    <row r="120" spans="1:3" x14ac:dyDescent="0.25">
      <c r="A120" s="1">
        <v>106</v>
      </c>
      <c r="B120" s="1" t="s">
        <v>1</v>
      </c>
      <c r="C120" s="1" t="s">
        <v>34</v>
      </c>
    </row>
    <row r="121" spans="1:3" x14ac:dyDescent="0.25">
      <c r="A121" s="1">
        <v>107</v>
      </c>
      <c r="B121" s="1" t="s">
        <v>1</v>
      </c>
      <c r="C121" s="1" t="s">
        <v>33</v>
      </c>
    </row>
    <row r="122" spans="1:3" x14ac:dyDescent="0.25">
      <c r="A122" s="1">
        <v>108</v>
      </c>
      <c r="B122" s="1" t="s">
        <v>1</v>
      </c>
      <c r="C122" s="1" t="s">
        <v>28</v>
      </c>
    </row>
    <row r="123" spans="1:3" x14ac:dyDescent="0.25">
      <c r="A123" s="1">
        <v>109</v>
      </c>
      <c r="B123" s="1" t="s">
        <v>1</v>
      </c>
      <c r="C123" s="1" t="s">
        <v>19</v>
      </c>
    </row>
    <row r="124" spans="1:3" x14ac:dyDescent="0.25">
      <c r="A124" s="1">
        <v>110</v>
      </c>
      <c r="B124" s="1" t="s">
        <v>1</v>
      </c>
      <c r="C124" s="1" t="s">
        <v>27</v>
      </c>
    </row>
    <row r="125" spans="1:3" x14ac:dyDescent="0.25">
      <c r="A125" s="1">
        <v>111</v>
      </c>
      <c r="B125" s="1" t="s">
        <v>1</v>
      </c>
      <c r="C125" s="1" t="s">
        <v>26</v>
      </c>
    </row>
    <row r="126" spans="1:3" x14ac:dyDescent="0.25">
      <c r="A126" s="1">
        <v>112</v>
      </c>
      <c r="B126" s="1" t="s">
        <v>1</v>
      </c>
      <c r="C126" s="1" t="s">
        <v>25</v>
      </c>
    </row>
    <row r="127" spans="1:3" x14ac:dyDescent="0.25">
      <c r="A127" s="1">
        <v>113</v>
      </c>
      <c r="B127" s="1" t="s">
        <v>1</v>
      </c>
      <c r="C127" s="1" t="s">
        <v>24</v>
      </c>
    </row>
    <row r="128" spans="1:3" x14ac:dyDescent="0.25">
      <c r="A128" s="1">
        <v>114</v>
      </c>
      <c r="B128" s="1" t="s">
        <v>1</v>
      </c>
      <c r="C128" s="1" t="s">
        <v>23</v>
      </c>
    </row>
    <row r="129" spans="1:3" x14ac:dyDescent="0.25">
      <c r="A129" s="1">
        <v>115</v>
      </c>
      <c r="B129" s="1" t="s">
        <v>1</v>
      </c>
      <c r="C129" s="1" t="s">
        <v>975</v>
      </c>
    </row>
    <row r="130" spans="1:3" x14ac:dyDescent="0.25">
      <c r="A130" s="1">
        <v>116</v>
      </c>
      <c r="B130" s="1" t="s">
        <v>1</v>
      </c>
      <c r="C130" s="1" t="s">
        <v>974</v>
      </c>
    </row>
    <row r="131" spans="1:3" x14ac:dyDescent="0.25">
      <c r="A131" s="1">
        <v>117</v>
      </c>
      <c r="B131" s="1" t="s">
        <v>1</v>
      </c>
      <c r="C131" s="1" t="s">
        <v>976</v>
      </c>
    </row>
    <row r="132" spans="1:3" x14ac:dyDescent="0.25">
      <c r="A132" s="1">
        <v>118</v>
      </c>
      <c r="B132" s="1" t="s">
        <v>1</v>
      </c>
      <c r="C132" s="1" t="s">
        <v>29</v>
      </c>
    </row>
    <row r="133" spans="1:3" x14ac:dyDescent="0.25">
      <c r="A133" s="1">
        <v>119</v>
      </c>
      <c r="B133" s="1" t="s">
        <v>1</v>
      </c>
      <c r="C133" s="1" t="s">
        <v>19</v>
      </c>
    </row>
    <row r="134" spans="1:3" x14ac:dyDescent="0.25">
      <c r="A134" s="1">
        <v>120</v>
      </c>
      <c r="B134" s="1" t="s">
        <v>1</v>
      </c>
      <c r="C134" s="1" t="s">
        <v>18</v>
      </c>
    </row>
    <row r="135" spans="1:3" x14ac:dyDescent="0.25">
      <c r="A135" s="1">
        <v>121</v>
      </c>
      <c r="B135" s="1" t="s">
        <v>1</v>
      </c>
      <c r="C135" s="1" t="s">
        <v>17</v>
      </c>
    </row>
    <row r="136" spans="1:3" x14ac:dyDescent="0.25">
      <c r="A136" s="1">
        <v>122</v>
      </c>
      <c r="B136" s="1" t="s">
        <v>1</v>
      </c>
      <c r="C136" s="1" t="s">
        <v>2</v>
      </c>
    </row>
    <row r="137" spans="1:3" ht="15.75" x14ac:dyDescent="0.3">
      <c r="A137" s="1">
        <v>87</v>
      </c>
      <c r="B137" s="1" t="s">
        <v>1</v>
      </c>
      <c r="C137" s="15" t="s">
        <v>0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D104"/>
  <sheetViews>
    <sheetView topLeftCell="A25" workbookViewId="0">
      <selection activeCell="C42" sqref="C42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182</v>
      </c>
      <c r="B1" s="5"/>
      <c r="C1" s="5"/>
      <c r="D1" s="12"/>
    </row>
    <row r="2" spans="1:4" x14ac:dyDescent="0.25">
      <c r="A2" s="1" t="s">
        <v>154</v>
      </c>
      <c r="B2" s="1" t="s">
        <v>1</v>
      </c>
      <c r="C2" s="2" t="s">
        <v>153</v>
      </c>
    </row>
    <row r="3" spans="1:4" x14ac:dyDescent="0.25">
      <c r="A3" s="1" t="s">
        <v>152</v>
      </c>
      <c r="B3" s="1" t="s">
        <v>1</v>
      </c>
      <c r="C3" s="2">
        <v>0</v>
      </c>
    </row>
    <row r="4" spans="1:4" x14ac:dyDescent="0.25">
      <c r="A4" s="1" t="s">
        <v>151</v>
      </c>
      <c r="B4" s="1" t="s">
        <v>1</v>
      </c>
      <c r="C4" s="11">
        <f xml:space="preserve"> INT(COUNTA(A:A)-4)/2</f>
        <v>50</v>
      </c>
    </row>
    <row r="5" spans="1:4" x14ac:dyDescent="0.25">
      <c r="A5" s="1" t="s">
        <v>150</v>
      </c>
      <c r="B5" s="1" t="s">
        <v>1</v>
      </c>
      <c r="C5" s="2" t="s">
        <v>772</v>
      </c>
    </row>
    <row r="6" spans="1:4" x14ac:dyDescent="0.25">
      <c r="A6" s="1" t="s">
        <v>149</v>
      </c>
      <c r="B6" s="1" t="s">
        <v>1</v>
      </c>
      <c r="C6" s="2" t="s">
        <v>775</v>
      </c>
    </row>
    <row r="7" spans="1:4" x14ac:dyDescent="0.25">
      <c r="A7" s="1" t="s">
        <v>148</v>
      </c>
      <c r="B7" s="1" t="s">
        <v>1</v>
      </c>
      <c r="C7" s="2" t="s">
        <v>773</v>
      </c>
    </row>
    <row r="8" spans="1:4" x14ac:dyDescent="0.25">
      <c r="A8" s="1" t="s">
        <v>147</v>
      </c>
      <c r="B8" s="1" t="s">
        <v>1</v>
      </c>
      <c r="C8" s="2" t="s">
        <v>774</v>
      </c>
    </row>
    <row r="9" spans="1:4" x14ac:dyDescent="0.25">
      <c r="A9" s="1" t="s">
        <v>146</v>
      </c>
      <c r="B9" s="1" t="s">
        <v>1</v>
      </c>
      <c r="C9" s="2" t="s">
        <v>785</v>
      </c>
    </row>
    <row r="10" spans="1:4" x14ac:dyDescent="0.25">
      <c r="A10" s="1" t="s">
        <v>145</v>
      </c>
      <c r="B10" s="1" t="s">
        <v>1</v>
      </c>
      <c r="C10" s="2" t="s">
        <v>781</v>
      </c>
    </row>
    <row r="11" spans="1:4" x14ac:dyDescent="0.25">
      <c r="A11" s="1" t="s">
        <v>144</v>
      </c>
      <c r="B11" s="1" t="s">
        <v>1</v>
      </c>
      <c r="C11" s="2" t="s">
        <v>776</v>
      </c>
    </row>
    <row r="12" spans="1:4" x14ac:dyDescent="0.25">
      <c r="A12" s="1" t="s">
        <v>143</v>
      </c>
      <c r="B12" s="1" t="s">
        <v>1</v>
      </c>
      <c r="C12" s="2" t="s">
        <v>777</v>
      </c>
    </row>
    <row r="13" spans="1:4" x14ac:dyDescent="0.25">
      <c r="A13" s="1" t="s">
        <v>142</v>
      </c>
      <c r="B13" s="1" t="s">
        <v>1</v>
      </c>
      <c r="C13" s="2" t="s">
        <v>786</v>
      </c>
    </row>
    <row r="14" spans="1:4" x14ac:dyDescent="0.25">
      <c r="A14" s="1" t="s">
        <v>141</v>
      </c>
      <c r="B14" s="1" t="s">
        <v>1</v>
      </c>
      <c r="C14" s="2" t="s">
        <v>780</v>
      </c>
    </row>
    <row r="15" spans="1:4" x14ac:dyDescent="0.25">
      <c r="A15" s="1" t="s">
        <v>140</v>
      </c>
      <c r="B15" s="1" t="s">
        <v>1</v>
      </c>
      <c r="C15" s="2" t="s">
        <v>778</v>
      </c>
    </row>
    <row r="16" spans="1:4" x14ac:dyDescent="0.25">
      <c r="A16" s="1" t="s">
        <v>139</v>
      </c>
      <c r="B16" s="1" t="s">
        <v>1</v>
      </c>
      <c r="C16" s="2" t="s">
        <v>779</v>
      </c>
    </row>
    <row r="17" spans="1:3" x14ac:dyDescent="0.25">
      <c r="A17" s="1" t="s">
        <v>138</v>
      </c>
      <c r="B17" s="1" t="s">
        <v>1</v>
      </c>
      <c r="C17" s="2" t="s">
        <v>784</v>
      </c>
    </row>
    <row r="18" spans="1:3" x14ac:dyDescent="0.25">
      <c r="A18" s="1" t="s">
        <v>137</v>
      </c>
      <c r="B18" s="1" t="s">
        <v>1</v>
      </c>
      <c r="C18" s="2" t="s">
        <v>787</v>
      </c>
    </row>
    <row r="19" spans="1:3" x14ac:dyDescent="0.25">
      <c r="A19" s="1" t="s">
        <v>136</v>
      </c>
      <c r="B19" s="1" t="s">
        <v>1</v>
      </c>
      <c r="C19" s="2" t="s">
        <v>782</v>
      </c>
    </row>
    <row r="20" spans="1:3" x14ac:dyDescent="0.25">
      <c r="A20" s="1" t="s">
        <v>135</v>
      </c>
      <c r="B20" s="1" t="s">
        <v>1</v>
      </c>
      <c r="C20" s="2" t="s">
        <v>783</v>
      </c>
    </row>
    <row r="21" spans="1:3" x14ac:dyDescent="0.25">
      <c r="A21" s="1" t="s">
        <v>134</v>
      </c>
      <c r="B21" s="1" t="s">
        <v>1</v>
      </c>
      <c r="C21" s="2" t="s">
        <v>788</v>
      </c>
    </row>
    <row r="22" spans="1:3" x14ac:dyDescent="0.25">
      <c r="A22" s="1" t="s">
        <v>133</v>
      </c>
      <c r="B22" s="1" t="s">
        <v>1</v>
      </c>
      <c r="C22" s="2" t="s">
        <v>789</v>
      </c>
    </row>
    <row r="23" spans="1:3" x14ac:dyDescent="0.25">
      <c r="A23" s="1" t="s">
        <v>132</v>
      </c>
      <c r="B23" s="1" t="s">
        <v>1</v>
      </c>
      <c r="C23" s="2" t="s">
        <v>790</v>
      </c>
    </row>
    <row r="24" spans="1:3" x14ac:dyDescent="0.25">
      <c r="A24" s="1" t="s">
        <v>131</v>
      </c>
      <c r="B24" s="1" t="s">
        <v>1</v>
      </c>
      <c r="C24" s="2" t="s">
        <v>791</v>
      </c>
    </row>
    <row r="25" spans="1:3" x14ac:dyDescent="0.25">
      <c r="A25" s="1" t="s">
        <v>130</v>
      </c>
      <c r="B25" s="1" t="s">
        <v>1</v>
      </c>
      <c r="C25" s="2" t="s">
        <v>792</v>
      </c>
    </row>
    <row r="26" spans="1:3" x14ac:dyDescent="0.25">
      <c r="A26" s="1" t="s">
        <v>129</v>
      </c>
      <c r="B26" s="1" t="s">
        <v>1</v>
      </c>
      <c r="C26" s="2" t="s">
        <v>793</v>
      </c>
    </row>
    <row r="27" spans="1:3" x14ac:dyDescent="0.25">
      <c r="A27" s="1" t="s">
        <v>128</v>
      </c>
      <c r="B27" s="1" t="s">
        <v>1</v>
      </c>
      <c r="C27" s="2" t="s">
        <v>794</v>
      </c>
    </row>
    <row r="28" spans="1:3" x14ac:dyDescent="0.25">
      <c r="A28" s="1" t="s">
        <v>127</v>
      </c>
      <c r="B28" s="1" t="s">
        <v>1</v>
      </c>
      <c r="C28" s="2" t="s">
        <v>795</v>
      </c>
    </row>
    <row r="29" spans="1:3" x14ac:dyDescent="0.25">
      <c r="A29" s="1" t="s">
        <v>126</v>
      </c>
      <c r="B29" s="1" t="s">
        <v>1</v>
      </c>
      <c r="C29" s="2" t="s">
        <v>796</v>
      </c>
    </row>
    <row r="30" spans="1:3" x14ac:dyDescent="0.25">
      <c r="A30" s="1" t="s">
        <v>125</v>
      </c>
      <c r="B30" s="1" t="s">
        <v>1</v>
      </c>
      <c r="C30" s="2" t="s">
        <v>797</v>
      </c>
    </row>
    <row r="31" spans="1:3" x14ac:dyDescent="0.25">
      <c r="A31" s="1" t="s">
        <v>124</v>
      </c>
      <c r="B31" s="1" t="s">
        <v>1</v>
      </c>
      <c r="C31" s="2" t="s">
        <v>798</v>
      </c>
    </row>
    <row r="32" spans="1:3" x14ac:dyDescent="0.25">
      <c r="A32" s="1" t="s">
        <v>123</v>
      </c>
      <c r="B32" s="1" t="s">
        <v>1</v>
      </c>
      <c r="C32" s="2" t="s">
        <v>800</v>
      </c>
    </row>
    <row r="33" spans="1:3" x14ac:dyDescent="0.25">
      <c r="A33" s="1" t="s">
        <v>122</v>
      </c>
      <c r="B33" s="1" t="s">
        <v>1</v>
      </c>
      <c r="C33" s="2" t="s">
        <v>800</v>
      </c>
    </row>
    <row r="34" spans="1:3" x14ac:dyDescent="0.25">
      <c r="A34" s="1" t="s">
        <v>121</v>
      </c>
      <c r="B34" s="1" t="s">
        <v>1</v>
      </c>
      <c r="C34" s="2" t="s">
        <v>800</v>
      </c>
    </row>
    <row r="35" spans="1:3" x14ac:dyDescent="0.25">
      <c r="A35" s="1" t="s">
        <v>657</v>
      </c>
      <c r="B35" s="1" t="s">
        <v>1</v>
      </c>
      <c r="C35" s="2" t="s">
        <v>818</v>
      </c>
    </row>
    <row r="36" spans="1:3" x14ac:dyDescent="0.25">
      <c r="A36" s="1" t="s">
        <v>658</v>
      </c>
      <c r="B36" s="1" t="s">
        <v>1</v>
      </c>
      <c r="C36" s="2" t="s">
        <v>817</v>
      </c>
    </row>
    <row r="37" spans="1:3" x14ac:dyDescent="0.25">
      <c r="A37" s="1" t="s">
        <v>659</v>
      </c>
      <c r="B37" s="1" t="s">
        <v>1</v>
      </c>
      <c r="C37" s="2" t="s">
        <v>819</v>
      </c>
    </row>
    <row r="38" spans="1:3" x14ac:dyDescent="0.25">
      <c r="A38" s="1" t="s">
        <v>660</v>
      </c>
      <c r="B38" s="1" t="s">
        <v>1</v>
      </c>
      <c r="C38" s="2" t="s">
        <v>820</v>
      </c>
    </row>
    <row r="39" spans="1:3" x14ac:dyDescent="0.25">
      <c r="A39" s="1" t="s">
        <v>661</v>
      </c>
      <c r="B39" s="1" t="s">
        <v>1</v>
      </c>
      <c r="C39" s="2" t="s">
        <v>942</v>
      </c>
    </row>
    <row r="40" spans="1:3" x14ac:dyDescent="0.25">
      <c r="A40" s="1" t="s">
        <v>802</v>
      </c>
      <c r="B40" s="1" t="s">
        <v>1</v>
      </c>
      <c r="C40" s="2" t="s">
        <v>943</v>
      </c>
    </row>
    <row r="41" spans="1:3" x14ac:dyDescent="0.25">
      <c r="A41" s="1" t="s">
        <v>803</v>
      </c>
      <c r="B41" s="1" t="s">
        <v>1</v>
      </c>
      <c r="C41" s="2" t="s">
        <v>944</v>
      </c>
    </row>
    <row r="42" spans="1:3" x14ac:dyDescent="0.25">
      <c r="A42" s="1" t="s">
        <v>804</v>
      </c>
      <c r="B42" s="1" t="s">
        <v>1</v>
      </c>
      <c r="C42" s="2" t="s">
        <v>945</v>
      </c>
    </row>
    <row r="43" spans="1:3" x14ac:dyDescent="0.25">
      <c r="A43" s="1" t="s">
        <v>805</v>
      </c>
      <c r="B43" s="1" t="s">
        <v>1</v>
      </c>
      <c r="C43" s="2" t="s">
        <v>822</v>
      </c>
    </row>
    <row r="44" spans="1:3" x14ac:dyDescent="0.25">
      <c r="A44" s="1" t="s">
        <v>806</v>
      </c>
      <c r="B44" s="1" t="s">
        <v>1</v>
      </c>
      <c r="C44" s="2" t="s">
        <v>821</v>
      </c>
    </row>
    <row r="45" spans="1:3" x14ac:dyDescent="0.25">
      <c r="A45" s="1" t="s">
        <v>807</v>
      </c>
      <c r="B45" s="1" t="s">
        <v>1</v>
      </c>
      <c r="C45" s="2" t="s">
        <v>823</v>
      </c>
    </row>
    <row r="46" spans="1:3" x14ac:dyDescent="0.25">
      <c r="A46" s="1" t="s">
        <v>808</v>
      </c>
      <c r="B46" s="1" t="s">
        <v>1</v>
      </c>
      <c r="C46" s="1" t="s">
        <v>824</v>
      </c>
    </row>
    <row r="47" spans="1:3" x14ac:dyDescent="0.25">
      <c r="A47" s="1" t="s">
        <v>809</v>
      </c>
      <c r="B47" s="1" t="s">
        <v>1</v>
      </c>
      <c r="C47" s="2" t="s">
        <v>825</v>
      </c>
    </row>
    <row r="48" spans="1:3" x14ac:dyDescent="0.25">
      <c r="A48" s="1" t="s">
        <v>810</v>
      </c>
      <c r="B48" s="1" t="s">
        <v>1</v>
      </c>
      <c r="C48" s="2" t="s">
        <v>935</v>
      </c>
    </row>
    <row r="49" spans="1:4" x14ac:dyDescent="0.25">
      <c r="A49" s="1" t="s">
        <v>811</v>
      </c>
      <c r="B49" s="1" t="s">
        <v>1</v>
      </c>
      <c r="C49" s="2" t="s">
        <v>933</v>
      </c>
    </row>
    <row r="50" spans="1:4" x14ac:dyDescent="0.25">
      <c r="A50" s="1" t="s">
        <v>812</v>
      </c>
      <c r="B50" s="1" t="s">
        <v>1</v>
      </c>
      <c r="C50" s="2" t="s">
        <v>934</v>
      </c>
    </row>
    <row r="51" spans="1:4" x14ac:dyDescent="0.25">
      <c r="A51" s="1" t="s">
        <v>813</v>
      </c>
      <c r="B51" s="1" t="s">
        <v>1</v>
      </c>
      <c r="C51" s="2" t="s">
        <v>826</v>
      </c>
    </row>
    <row r="52" spans="1:4" x14ac:dyDescent="0.25">
      <c r="A52" s="1" t="s">
        <v>814</v>
      </c>
      <c r="B52" s="1" t="s">
        <v>1</v>
      </c>
      <c r="C52" s="2" t="s">
        <v>827</v>
      </c>
    </row>
    <row r="53" spans="1:4" x14ac:dyDescent="0.25">
      <c r="A53" s="1" t="s">
        <v>815</v>
      </c>
      <c r="B53" s="1" t="s">
        <v>1</v>
      </c>
      <c r="C53" s="2" t="s">
        <v>828</v>
      </c>
    </row>
    <row r="54" spans="1:4" x14ac:dyDescent="0.25">
      <c r="A54" s="1" t="s">
        <v>816</v>
      </c>
      <c r="B54" s="1" t="s">
        <v>1</v>
      </c>
      <c r="C54" s="2" t="s">
        <v>829</v>
      </c>
    </row>
    <row r="55" spans="1:4" x14ac:dyDescent="0.25">
      <c r="A55" s="1" t="s">
        <v>120</v>
      </c>
      <c r="B55" s="1" t="s">
        <v>1</v>
      </c>
      <c r="C55" s="2" t="str">
        <f>".equ Status,                    " &amp; D55</f>
        <v>.equ Status,                    0</v>
      </c>
      <c r="D55" s="13">
        <v>0</v>
      </c>
    </row>
    <row r="56" spans="1:4" x14ac:dyDescent="0.25">
      <c r="A56" s="1" t="s">
        <v>119</v>
      </c>
      <c r="B56" s="1" t="s">
        <v>1</v>
      </c>
      <c r="C56" s="2" t="str">
        <f>".equ ptrSourceRegister,         " &amp; D56</f>
        <v>.equ ptrSourceRegister,         2</v>
      </c>
      <c r="D56" s="13">
        <v>2</v>
      </c>
    </row>
    <row r="57" spans="1:4" x14ac:dyDescent="0.25">
      <c r="A57" s="1" t="s">
        <v>118</v>
      </c>
      <c r="B57" s="1" t="s">
        <v>1</v>
      </c>
      <c r="C57" s="1" t="str">
        <f>".equ SourceNormShift,           " &amp; D57</f>
        <v>.equ SourceNormShift,           4</v>
      </c>
      <c r="D57" s="13">
        <v>4</v>
      </c>
    </row>
    <row r="58" spans="1:4" x14ac:dyDescent="0.25">
      <c r="A58" s="1" t="s">
        <v>117</v>
      </c>
      <c r="B58" s="1" t="s">
        <v>1</v>
      </c>
      <c r="C58" s="1" t="str">
        <f>".equ SourceNormFactor,          " &amp; D58</f>
        <v>.equ SourceNormFactor,          6</v>
      </c>
      <c r="D58" s="13">
        <v>6</v>
      </c>
    </row>
    <row r="59" spans="1:4" x14ac:dyDescent="0.25">
      <c r="A59" s="1" t="s">
        <v>116</v>
      </c>
      <c r="B59" s="1" t="s">
        <v>1</v>
      </c>
      <c r="C59" s="2" t="str">
        <f>".equ SourceOffset,              " &amp; D59</f>
        <v>.equ SourceOffset,              8</v>
      </c>
      <c r="D59" s="13">
        <v>8</v>
      </c>
    </row>
    <row r="60" spans="1:4" x14ac:dyDescent="0.25">
      <c r="A60" s="1" t="s">
        <v>115</v>
      </c>
      <c r="B60" s="1" t="s">
        <v>1</v>
      </c>
      <c r="C60" s="2" t="str">
        <f>".equ ptrAltSourceRegister,      " &amp; D60</f>
        <v>.equ ptrAltSourceRegister,      10</v>
      </c>
      <c r="D60" s="13">
        <v>10</v>
      </c>
    </row>
    <row r="61" spans="1:4" x14ac:dyDescent="0.25">
      <c r="A61" s="1" t="s">
        <v>114</v>
      </c>
      <c r="B61" s="1" t="s">
        <v>1</v>
      </c>
      <c r="C61" s="1" t="str">
        <f>".equ AltSourceNormShift,        " &amp; D61</f>
        <v>.equ AltSourceNormShift,        12</v>
      </c>
      <c r="D61" s="13">
        <v>12</v>
      </c>
    </row>
    <row r="62" spans="1:4" x14ac:dyDescent="0.25">
      <c r="A62" s="1" t="s">
        <v>113</v>
      </c>
      <c r="B62" s="1" t="s">
        <v>1</v>
      </c>
      <c r="C62" s="1" t="str">
        <f>".equ AltSourceNormFactor,       " &amp; D62</f>
        <v>.equ AltSourceNormFactor,       14</v>
      </c>
      <c r="D62" s="13">
        <v>14</v>
      </c>
    </row>
    <row r="63" spans="1:4" x14ac:dyDescent="0.25">
      <c r="A63" s="1" t="s">
        <v>112</v>
      </c>
      <c r="B63" s="1" t="s">
        <v>1</v>
      </c>
      <c r="C63" s="2" t="str">
        <f>".equ AltSourceOffset,           " &amp; D63</f>
        <v>.equ AltSourceOffset,           16</v>
      </c>
      <c r="D63" s="13">
        <v>16</v>
      </c>
    </row>
    <row r="64" spans="1:4" x14ac:dyDescent="0.25">
      <c r="A64" s="1" t="s">
        <v>111</v>
      </c>
      <c r="B64" s="1" t="s">
        <v>1</v>
      </c>
      <c r="C64" s="2" t="str">
        <f>".equ ptrTargetRegister,         " &amp; D64</f>
        <v>.equ ptrTargetRegister,         18</v>
      </c>
      <c r="D64" s="13">
        <v>18</v>
      </c>
    </row>
    <row r="65" spans="1:4" x14ac:dyDescent="0.25">
      <c r="A65" s="1" t="s">
        <v>110</v>
      </c>
      <c r="B65" s="1" t="s">
        <v>1</v>
      </c>
      <c r="C65" s="2" t="str">
        <f>".equ TargetNormShift,           " &amp; D65</f>
        <v>.equ TargetNormShift,           20</v>
      </c>
      <c r="D65" s="13">
        <v>20</v>
      </c>
    </row>
    <row r="66" spans="1:4" x14ac:dyDescent="0.25">
      <c r="A66" s="1" t="s">
        <v>109</v>
      </c>
      <c r="B66" s="1" t="s">
        <v>1</v>
      </c>
      <c r="C66" s="2" t="str">
        <f>".equ TargetNormFactor,          " &amp; D66</f>
        <v>.equ TargetNormFactor,          22</v>
      </c>
      <c r="D66" s="13">
        <v>22</v>
      </c>
    </row>
    <row r="67" spans="1:4" x14ac:dyDescent="0.25">
      <c r="A67" s="1" t="s">
        <v>108</v>
      </c>
      <c r="B67" s="1" t="s">
        <v>1</v>
      </c>
      <c r="C67" s="2" t="str">
        <f>".equ TargetOffset,              " &amp; D67</f>
        <v>.equ TargetOffset,              24</v>
      </c>
      <c r="D67" s="13">
        <v>24</v>
      </c>
    </row>
    <row r="68" spans="1:4" x14ac:dyDescent="0.25">
      <c r="A68" s="1" t="s">
        <v>107</v>
      </c>
      <c r="B68" s="1" t="s">
        <v>1</v>
      </c>
      <c r="C68" s="2" t="str">
        <f>".equ ptrAltTargetRegister,      " &amp; D68</f>
        <v>.equ ptrAltTargetRegister,      26</v>
      </c>
      <c r="D68" s="13">
        <v>26</v>
      </c>
    </row>
    <row r="69" spans="1:4" x14ac:dyDescent="0.25">
      <c r="A69" s="1" t="s">
        <v>106</v>
      </c>
      <c r="B69" s="1" t="s">
        <v>1</v>
      </c>
      <c r="C69" s="2" t="str">
        <f>".equ AltTargetNormShift,        " &amp; D69</f>
        <v>.equ AltTargetNormShift,        28</v>
      </c>
      <c r="D69" s="13">
        <v>28</v>
      </c>
    </row>
    <row r="70" spans="1:4" x14ac:dyDescent="0.25">
      <c r="A70" s="1" t="s">
        <v>105</v>
      </c>
      <c r="B70" s="1" t="s">
        <v>1</v>
      </c>
      <c r="C70" s="2" t="str">
        <f>".equ AltTargetNormFactor,       " &amp; D70</f>
        <v>.equ AltTargetNormFactor,       30</v>
      </c>
      <c r="D70" s="13">
        <v>30</v>
      </c>
    </row>
    <row r="71" spans="1:4" x14ac:dyDescent="0.25">
      <c r="A71" s="1" t="s">
        <v>104</v>
      </c>
      <c r="B71" s="1" t="s">
        <v>1</v>
      </c>
      <c r="C71" s="2" t="str">
        <f>".equ AltTargetOffset,           " &amp; D71</f>
        <v>.equ AltTargetOffset,           32</v>
      </c>
      <c r="D71" s="13">
        <v>32</v>
      </c>
    </row>
    <row r="72" spans="1:4" x14ac:dyDescent="0.25">
      <c r="A72" s="1" t="s">
        <v>103</v>
      </c>
      <c r="B72" s="1" t="s">
        <v>1</v>
      </c>
      <c r="C72" s="2" t="str">
        <f>".equ ptrCtrlReference,          " &amp; D72</f>
        <v>.equ ptrCtrlReference,          34</v>
      </c>
      <c r="D72" s="13">
        <v>34</v>
      </c>
    </row>
    <row r="73" spans="1:4" x14ac:dyDescent="0.25">
      <c r="A73" s="1" t="s">
        <v>102</v>
      </c>
      <c r="B73" s="1" t="s">
        <v>1</v>
      </c>
      <c r="C73" s="2" t="str">
        <f>".equ ptrACoefficients,          " &amp; D73</f>
        <v>.equ ptrACoefficients,          36</v>
      </c>
      <c r="D73" s="13">
        <v>36</v>
      </c>
    </row>
    <row r="74" spans="1:4" x14ac:dyDescent="0.25">
      <c r="A74" s="1" t="s">
        <v>101</v>
      </c>
      <c r="B74" s="1" t="s">
        <v>1</v>
      </c>
      <c r="C74" s="2" t="str">
        <f>".equ ptrBCoefficients,          " &amp; D74</f>
        <v>.equ ptrBCoefficients,          38</v>
      </c>
      <c r="D74" s="13">
        <v>38</v>
      </c>
    </row>
    <row r="75" spans="1:4" x14ac:dyDescent="0.25">
      <c r="A75" s="1" t="s">
        <v>100</v>
      </c>
      <c r="B75" s="1" t="s">
        <v>1</v>
      </c>
      <c r="C75" s="2" t="str">
        <f>".equ ptrControlHistory,         " &amp; D75</f>
        <v>.equ ptrControlHistory,         40</v>
      </c>
      <c r="D75" s="13">
        <v>40</v>
      </c>
    </row>
    <row r="76" spans="1:4" x14ac:dyDescent="0.25">
      <c r="A76" s="1" t="s">
        <v>99</v>
      </c>
      <c r="B76" s="1" t="s">
        <v>1</v>
      </c>
      <c r="C76" s="2" t="str">
        <f>".equ ptrErrorHistory,           " &amp; D76</f>
        <v>.equ ptrErrorHistory,           42</v>
      </c>
      <c r="D76" s="13">
        <v>42</v>
      </c>
    </row>
    <row r="77" spans="1:4" x14ac:dyDescent="0.25">
      <c r="A77" s="1" t="s">
        <v>98</v>
      </c>
      <c r="B77" s="1" t="s">
        <v>1</v>
      </c>
      <c r="C77" s="2" t="str">
        <f>".equ ACoeffArraySize,           " &amp; D77</f>
        <v>.equ ACoeffArraySize,           44</v>
      </c>
      <c r="D77" s="13">
        <v>44</v>
      </c>
    </row>
    <row r="78" spans="1:4" x14ac:dyDescent="0.25">
      <c r="A78" s="1" t="s">
        <v>97</v>
      </c>
      <c r="B78" s="1" t="s">
        <v>1</v>
      </c>
      <c r="C78" s="2" t="str">
        <f>".equ BCoeffArraySize,           " &amp; D78</f>
        <v>.equ BCoeffArraySize,           46</v>
      </c>
      <c r="D78" s="13">
        <v>46</v>
      </c>
    </row>
    <row r="79" spans="1:4" x14ac:dyDescent="0.25">
      <c r="A79" s="1" t="s">
        <v>96</v>
      </c>
      <c r="B79" s="1" t="s">
        <v>1</v>
      </c>
      <c r="C79" s="2" t="str">
        <f>".equ CtrlHistArraySize,         " &amp; D79</f>
        <v>.equ CtrlHistArraySize,         48</v>
      </c>
      <c r="D79" s="13">
        <v>48</v>
      </c>
    </row>
    <row r="80" spans="1:4" x14ac:dyDescent="0.25">
      <c r="A80" s="1" t="s">
        <v>95</v>
      </c>
      <c r="B80" s="1" t="s">
        <v>1</v>
      </c>
      <c r="C80" s="2" t="str">
        <f>".equ ErrHistArraySize,          " &amp; D80</f>
        <v>.equ ErrHistArraySize,          50</v>
      </c>
      <c r="D80" s="13">
        <v>50</v>
      </c>
    </row>
    <row r="81" spans="1:4" x14ac:dyDescent="0.25">
      <c r="A81" s="1" t="s">
        <v>94</v>
      </c>
      <c r="B81" s="1" t="s">
        <v>1</v>
      </c>
      <c r="C81" s="2" t="str">
        <f>".equ PreShift,                  " &amp; D81</f>
        <v>.equ PreShift,                  52</v>
      </c>
      <c r="D81" s="13">
        <v>52</v>
      </c>
    </row>
    <row r="82" spans="1:4" x14ac:dyDescent="0.25">
      <c r="A82" s="1" t="s">
        <v>93</v>
      </c>
      <c r="B82" s="1" t="s">
        <v>1</v>
      </c>
      <c r="C82" s="2" t="str">
        <f>".equ reserved_0,                " &amp; D82</f>
        <v>.equ reserved_0,                54</v>
      </c>
      <c r="D82" s="13">
        <v>54</v>
      </c>
    </row>
    <row r="83" spans="1:4" x14ac:dyDescent="0.25">
      <c r="A83" s="1" t="s">
        <v>92</v>
      </c>
      <c r="B83" s="1" t="s">
        <v>1</v>
      </c>
      <c r="C83" s="2" t="str">
        <f>".equ reserved_1,                " &amp; D83</f>
        <v>.equ reserved_1,                56</v>
      </c>
      <c r="D83" s="13">
        <v>56</v>
      </c>
    </row>
    <row r="84" spans="1:4" x14ac:dyDescent="0.25">
      <c r="A84" s="1" t="s">
        <v>91</v>
      </c>
      <c r="B84" s="1" t="s">
        <v>1</v>
      </c>
      <c r="C84" s="2" t="str">
        <f>".equ reserved_2,                " &amp; D84</f>
        <v>.equ reserved_2,                58</v>
      </c>
      <c r="D84" s="13">
        <v>58</v>
      </c>
    </row>
    <row r="85" spans="1:4" x14ac:dyDescent="0.25">
      <c r="A85" s="1" t="s">
        <v>652</v>
      </c>
      <c r="B85" s="1" t="s">
        <v>1</v>
      </c>
      <c r="C85" s="2" t="str">
        <f>".equ MinOutput,                 " &amp; D85</f>
        <v>.equ MinOutput,                 60</v>
      </c>
      <c r="D85" s="13">
        <v>60</v>
      </c>
    </row>
    <row r="86" spans="1:4" x14ac:dyDescent="0.25">
      <c r="A86" s="1" t="s">
        <v>653</v>
      </c>
      <c r="B86" s="1" t="s">
        <v>1</v>
      </c>
      <c r="C86" s="2" t="str">
        <f>".equ MaxOutput,                 " &amp; D86</f>
        <v>.equ MaxOutput,                 62</v>
      </c>
      <c r="D86" s="13">
        <v>62</v>
      </c>
    </row>
    <row r="87" spans="1:4" x14ac:dyDescent="0.25">
      <c r="A87" s="1" t="s">
        <v>654</v>
      </c>
      <c r="B87" s="1" t="s">
        <v>1</v>
      </c>
      <c r="C87" s="2" t="str">
        <f>".equ AltMinOutput,              " &amp; D87</f>
        <v>.equ AltMinOutput,              64</v>
      </c>
      <c r="D87" s="13">
        <v>64</v>
      </c>
    </row>
    <row r="88" spans="1:4" x14ac:dyDescent="0.25">
      <c r="A88" s="1" t="s">
        <v>655</v>
      </c>
      <c r="B88" s="1" t="s">
        <v>1</v>
      </c>
      <c r="C88" s="2" t="str">
        <f>".equ AltMaxOutput,              " &amp; D88</f>
        <v>.equ AltMaxOutput,              66</v>
      </c>
      <c r="D88" s="13">
        <v>66</v>
      </c>
    </row>
    <row r="89" spans="1:4" x14ac:dyDescent="0.25">
      <c r="A89" s="1" t="s">
        <v>656</v>
      </c>
      <c r="B89" s="1" t="s">
        <v>1</v>
      </c>
      <c r="C89" s="2" t="str">
        <f>".equ ptrADCTriggerARegister,    " &amp; D89</f>
        <v>.equ ptrADCTriggerARegister,    68</v>
      </c>
      <c r="D89" s="13">
        <v>68</v>
      </c>
    </row>
    <row r="90" spans="1:4" x14ac:dyDescent="0.25">
      <c r="A90" s="1" t="s">
        <v>758</v>
      </c>
      <c r="B90" s="1" t="s">
        <v>1</v>
      </c>
      <c r="C90" s="2" t="str">
        <f>".equ ADCTriggerAOffset,         " &amp; D90</f>
        <v>.equ ADCTriggerAOffset,         70</v>
      </c>
      <c r="D90" s="13">
        <v>70</v>
      </c>
    </row>
    <row r="91" spans="1:4" x14ac:dyDescent="0.25">
      <c r="A91" s="1" t="s">
        <v>759</v>
      </c>
      <c r="B91" s="1" t="s">
        <v>1</v>
      </c>
      <c r="C91" s="2" t="str">
        <f>".equ ptrADCTriggerBRegister,    " &amp; D91</f>
        <v>.equ ptrADCTriggerBRegister,    72</v>
      </c>
      <c r="D91" s="13">
        <v>72</v>
      </c>
    </row>
    <row r="92" spans="1:4" x14ac:dyDescent="0.25">
      <c r="A92" s="1" t="s">
        <v>760</v>
      </c>
      <c r="B92" s="1" t="s">
        <v>1</v>
      </c>
      <c r="C92" s="2" t="str">
        <f>".equ ADCTriggerBOffset,         " &amp; D92</f>
        <v>.equ ADCTriggerBOffset,         74</v>
      </c>
      <c r="D92" s="13">
        <v>74</v>
      </c>
    </row>
    <row r="93" spans="1:4" x14ac:dyDescent="0.25">
      <c r="A93" s="1" t="s">
        <v>761</v>
      </c>
      <c r="B93" s="1" t="s">
        <v>1</v>
      </c>
      <c r="C93" s="2" t="str">
        <f>".equ ptrDProvControlInput,      " &amp; D93</f>
        <v>.equ ptrDProvControlInput,      76</v>
      </c>
      <c r="D93" s="13">
        <v>76</v>
      </c>
    </row>
    <row r="94" spans="1:4" x14ac:dyDescent="0.25">
      <c r="A94" s="1" t="s">
        <v>762</v>
      </c>
      <c r="B94" s="1" t="s">
        <v>1</v>
      </c>
      <c r="C94" s="2" t="str">
        <f>".equ ptrDProvControlError,      " &amp; D94</f>
        <v>.equ ptrDProvControlError,      78</v>
      </c>
      <c r="D94" s="13">
        <v>78</v>
      </c>
    </row>
    <row r="95" spans="1:4" x14ac:dyDescent="0.25">
      <c r="A95" s="1" t="s">
        <v>763</v>
      </c>
      <c r="B95" s="1" t="s">
        <v>1</v>
      </c>
      <c r="C95" s="2" t="str">
        <f>".equ ptrDProvControlOutput,     " &amp; D95</f>
        <v>.equ ptrDProvControlOutput,     80</v>
      </c>
      <c r="D95" s="13">
        <v>80</v>
      </c>
    </row>
    <row r="96" spans="1:4" x14ac:dyDescent="0.25">
      <c r="A96" s="1" t="s">
        <v>764</v>
      </c>
      <c r="B96" s="1" t="s">
        <v>1</v>
      </c>
      <c r="C96" s="2" t="str">
        <f>".equ ptrCascadedFunction,       " &amp; D96</f>
        <v>.equ ptrCascadedFunction,       82</v>
      </c>
      <c r="D96" s="13">
        <v>82</v>
      </c>
    </row>
    <row r="97" spans="1:4" x14ac:dyDescent="0.25">
      <c r="A97" s="1" t="s">
        <v>765</v>
      </c>
      <c r="B97" s="1" t="s">
        <v>1</v>
      </c>
      <c r="C97" s="2" t="str">
        <f>".equ CascadedFunParam,          " &amp; D97</f>
        <v>.equ CascadedFunParam,          84</v>
      </c>
      <c r="D97" s="13">
        <v>84</v>
      </c>
    </row>
    <row r="98" spans="1:4" x14ac:dyDescent="0.25">
      <c r="A98" s="1" t="s">
        <v>766</v>
      </c>
      <c r="B98" s="1" t="s">
        <v>1</v>
      </c>
      <c r="C98" s="1" t="str">
        <f>".equ agcGainModScaler,          " &amp; D98</f>
        <v>.equ agcGainModScaler,          86</v>
      </c>
      <c r="D98" s="13">
        <v>86</v>
      </c>
    </row>
    <row r="99" spans="1:4" x14ac:dyDescent="0.25">
      <c r="A99" s="1" t="s">
        <v>767</v>
      </c>
      <c r="B99" s="1" t="s">
        <v>1</v>
      </c>
      <c r="C99" s="10" t="str">
        <f>".equ agcGainModFactor,          " &amp; D99</f>
        <v>.equ agcGainModFactor,          88</v>
      </c>
      <c r="D99" s="13">
        <v>88</v>
      </c>
    </row>
    <row r="100" spans="1:4" x14ac:dyDescent="0.25">
      <c r="A100" s="1" t="s">
        <v>768</v>
      </c>
      <c r="B100" s="1" t="s">
        <v>1</v>
      </c>
      <c r="C100" s="1" t="str">
        <f>".equ agcGainModMedian,          " &amp; D100</f>
        <v>.equ agcGainModMedian,          90</v>
      </c>
      <c r="D100" s="13">
        <v>90</v>
      </c>
    </row>
    <row r="101" spans="1:4" x14ac:dyDescent="0.25">
      <c r="A101" s="1" t="s">
        <v>769</v>
      </c>
      <c r="B101" s="1" t="s">
        <v>1</v>
      </c>
      <c r="C101" s="1" t="str">
        <f>".equ AdvParam1,                 " &amp; D101</f>
        <v>.equ AdvParam1,                 92</v>
      </c>
      <c r="D101" s="13">
        <v>92</v>
      </c>
    </row>
    <row r="102" spans="1:4" x14ac:dyDescent="0.25">
      <c r="A102" s="1" t="s">
        <v>770</v>
      </c>
      <c r="B102" s="1" t="s">
        <v>1</v>
      </c>
      <c r="C102" s="1" t="str">
        <f>".equ AdvParam2,                 " &amp; D102</f>
        <v>.equ AdvParam2,                 94</v>
      </c>
      <c r="D102" s="13">
        <v>94</v>
      </c>
    </row>
    <row r="103" spans="1:4" x14ac:dyDescent="0.25">
      <c r="A103" s="1" t="s">
        <v>771</v>
      </c>
      <c r="B103" s="1" t="s">
        <v>1</v>
      </c>
      <c r="C103" s="1" t="str">
        <f>".equ AdvParam3,                 " &amp; D103</f>
        <v>.equ AdvParam3,                 96</v>
      </c>
      <c r="D103" s="13">
        <v>96</v>
      </c>
    </row>
    <row r="104" spans="1:4" x14ac:dyDescent="0.25">
      <c r="A104" s="1" t="s">
        <v>830</v>
      </c>
      <c r="B104" s="1" t="s">
        <v>1</v>
      </c>
      <c r="C104" s="1" t="str">
        <f>".equ AdvParam4,                 " &amp; D104</f>
        <v>.equ AdvParam4,                 98</v>
      </c>
      <c r="D104" s="13">
        <v>98</v>
      </c>
    </row>
  </sheetData>
  <phoneticPr fontId="4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C131"/>
  <sheetViews>
    <sheetView zoomScale="130" zoomScaleNormal="130" workbookViewId="0">
      <selection activeCell="C5" sqref="C5"/>
    </sheetView>
  </sheetViews>
  <sheetFormatPr defaultRowHeight="15" x14ac:dyDescent="0.25"/>
  <cols>
    <col min="1" max="1" width="14.57031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181</v>
      </c>
      <c r="B1" s="5"/>
      <c r="C1" s="5"/>
    </row>
    <row r="2" spans="1:3" x14ac:dyDescent="0.25">
      <c r="A2" s="1" t="s">
        <v>169</v>
      </c>
      <c r="C2" s="2"/>
    </row>
    <row r="3" spans="1:3" x14ac:dyDescent="0.25">
      <c r="A3" s="1" t="s">
        <v>158</v>
      </c>
      <c r="C3" s="2"/>
    </row>
    <row r="4" spans="1:3" x14ac:dyDescent="0.25">
      <c r="A4" s="1" t="s">
        <v>79</v>
      </c>
      <c r="B4" s="1" t="s">
        <v>1</v>
      </c>
      <c r="C4" s="2" t="s">
        <v>1043</v>
      </c>
    </row>
    <row r="5" spans="1:3" x14ac:dyDescent="0.25">
      <c r="A5" s="1" t="s">
        <v>78</v>
      </c>
      <c r="B5" s="1" t="s">
        <v>1</v>
      </c>
      <c r="C5" s="2" t="s">
        <v>168</v>
      </c>
    </row>
    <row r="6" spans="1:3" x14ac:dyDescent="0.25">
      <c r="A6" s="1" t="s">
        <v>76</v>
      </c>
      <c r="B6" s="1" t="s">
        <v>1</v>
      </c>
      <c r="C6" s="9">
        <f>COUNTA(A:A)-6</f>
        <v>125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88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ht="15.75" x14ac:dyDescent="0.3">
      <c r="A13" s="1">
        <v>6</v>
      </c>
      <c r="B13" s="1" t="s">
        <v>1</v>
      </c>
      <c r="C13" s="15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180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179</v>
      </c>
    </row>
    <row r="28" spans="1:3" x14ac:dyDescent="0.25">
      <c r="A28" s="1">
        <v>21</v>
      </c>
      <c r="B28" s="1" t="s">
        <v>1</v>
      </c>
      <c r="C28" s="2" t="s">
        <v>176</v>
      </c>
    </row>
    <row r="29" spans="1:3" x14ac:dyDescent="0.25">
      <c r="A29" s="1">
        <v>22</v>
      </c>
      <c r="B29" s="1" t="s">
        <v>1</v>
      </c>
      <c r="C29" s="2" t="s">
        <v>178</v>
      </c>
    </row>
    <row r="30" spans="1:3" x14ac:dyDescent="0.25">
      <c r="A30" s="1">
        <v>23</v>
      </c>
      <c r="B30" s="1" t="s">
        <v>1</v>
      </c>
      <c r="C30" s="2" t="s">
        <v>174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177</v>
      </c>
    </row>
    <row r="43" spans="1:3" x14ac:dyDescent="0.25">
      <c r="A43" s="1">
        <v>36</v>
      </c>
      <c r="B43" s="1" t="s">
        <v>1</v>
      </c>
      <c r="C43" s="2" t="s">
        <v>176</v>
      </c>
    </row>
    <row r="44" spans="1:3" x14ac:dyDescent="0.25">
      <c r="A44" s="1">
        <v>37</v>
      </c>
      <c r="B44" s="1" t="s">
        <v>1</v>
      </c>
      <c r="C44" s="2" t="s">
        <v>175</v>
      </c>
    </row>
    <row r="45" spans="1:3" x14ac:dyDescent="0.25">
      <c r="A45" s="1">
        <v>38</v>
      </c>
      <c r="B45" s="1" t="s">
        <v>1</v>
      </c>
      <c r="C45" s="2" t="s">
        <v>174</v>
      </c>
    </row>
    <row r="46" spans="1:3" x14ac:dyDescent="0.25">
      <c r="A46" s="1">
        <v>39</v>
      </c>
      <c r="B46" s="1" t="s">
        <v>1</v>
      </c>
      <c r="C46" s="2" t="s">
        <v>173</v>
      </c>
    </row>
    <row r="47" spans="1:3" x14ac:dyDescent="0.25">
      <c r="A47" s="1">
        <v>40</v>
      </c>
      <c r="B47" s="1" t="s">
        <v>1</v>
      </c>
      <c r="C47" s="2" t="s">
        <v>39</v>
      </c>
    </row>
    <row r="48" spans="1:3" x14ac:dyDescent="0.25">
      <c r="A48" s="1">
        <v>41</v>
      </c>
      <c r="B48" s="1" t="s">
        <v>1</v>
      </c>
      <c r="C48" s="2" t="s">
        <v>38</v>
      </c>
    </row>
    <row r="49" spans="1:3" x14ac:dyDescent="0.25">
      <c r="A49" s="1">
        <v>42</v>
      </c>
      <c r="B49" s="1" t="s">
        <v>1</v>
      </c>
      <c r="C49" s="2" t="s">
        <v>37</v>
      </c>
    </row>
    <row r="50" spans="1:3" x14ac:dyDescent="0.25">
      <c r="A50" s="1">
        <v>43</v>
      </c>
      <c r="B50" s="1" t="s">
        <v>1</v>
      </c>
      <c r="C50" s="2" t="s">
        <v>36</v>
      </c>
    </row>
    <row r="51" spans="1:3" x14ac:dyDescent="0.25">
      <c r="A51" s="1">
        <v>44</v>
      </c>
      <c r="B51" s="1" t="s">
        <v>1</v>
      </c>
      <c r="C51" s="2" t="s">
        <v>35</v>
      </c>
    </row>
    <row r="52" spans="1:3" x14ac:dyDescent="0.25">
      <c r="A52" s="1">
        <v>45</v>
      </c>
      <c r="B52" s="1" t="s">
        <v>1</v>
      </c>
      <c r="C52" s="2" t="s">
        <v>34</v>
      </c>
    </row>
    <row r="53" spans="1:3" x14ac:dyDescent="0.25">
      <c r="A53" s="1">
        <v>46</v>
      </c>
      <c r="B53" s="1" t="s">
        <v>1</v>
      </c>
      <c r="C53" s="2" t="s">
        <v>33</v>
      </c>
    </row>
    <row r="54" spans="1:3" x14ac:dyDescent="0.25">
      <c r="A54" s="1">
        <v>47</v>
      </c>
      <c r="B54" s="1" t="s">
        <v>1</v>
      </c>
      <c r="C54" s="2" t="s">
        <v>32</v>
      </c>
    </row>
    <row r="55" spans="1:3" x14ac:dyDescent="0.25">
      <c r="A55" s="1">
        <v>48</v>
      </c>
      <c r="B55" s="1" t="s">
        <v>1</v>
      </c>
      <c r="C55" s="2" t="s">
        <v>31</v>
      </c>
    </row>
    <row r="56" spans="1:3" x14ac:dyDescent="0.25">
      <c r="A56" s="1">
        <v>49</v>
      </c>
      <c r="B56" s="1" t="s">
        <v>1</v>
      </c>
      <c r="C56" s="2" t="s">
        <v>30</v>
      </c>
    </row>
    <row r="57" spans="1:3" x14ac:dyDescent="0.25">
      <c r="A57" s="1">
        <v>50</v>
      </c>
      <c r="B57" s="1" t="s">
        <v>1</v>
      </c>
      <c r="C57" s="2" t="s">
        <v>28</v>
      </c>
    </row>
    <row r="58" spans="1:3" x14ac:dyDescent="0.25">
      <c r="A58" s="1">
        <v>51</v>
      </c>
      <c r="B58" s="1" t="s">
        <v>1</v>
      </c>
      <c r="C58" s="2" t="s">
        <v>19</v>
      </c>
    </row>
    <row r="59" spans="1:3" x14ac:dyDescent="0.25">
      <c r="A59" s="1">
        <v>52</v>
      </c>
      <c r="B59" s="1" t="s">
        <v>1</v>
      </c>
      <c r="C59" s="2" t="s">
        <v>172</v>
      </c>
    </row>
    <row r="60" spans="1:3" x14ac:dyDescent="0.25">
      <c r="A60" s="1">
        <v>53</v>
      </c>
      <c r="B60" s="1" t="s">
        <v>1</v>
      </c>
      <c r="C60" s="2" t="s">
        <v>26</v>
      </c>
    </row>
    <row r="61" spans="1:3" x14ac:dyDescent="0.25">
      <c r="A61" s="1">
        <v>54</v>
      </c>
      <c r="B61" s="1" t="s">
        <v>1</v>
      </c>
      <c r="C61" s="2" t="s">
        <v>25</v>
      </c>
    </row>
    <row r="62" spans="1:3" x14ac:dyDescent="0.25">
      <c r="A62" s="1">
        <v>55</v>
      </c>
      <c r="B62" s="1" t="s">
        <v>1</v>
      </c>
      <c r="C62" s="2" t="s">
        <v>24</v>
      </c>
    </row>
    <row r="63" spans="1:3" x14ac:dyDescent="0.25">
      <c r="A63" s="1">
        <v>56</v>
      </c>
      <c r="B63" s="1" t="s">
        <v>1</v>
      </c>
      <c r="C63" s="2" t="s">
        <v>23</v>
      </c>
    </row>
    <row r="64" spans="1:3" x14ac:dyDescent="0.25">
      <c r="A64" s="1">
        <v>57</v>
      </c>
      <c r="B64" s="1" t="s">
        <v>1</v>
      </c>
      <c r="C64" s="2" t="s">
        <v>22</v>
      </c>
    </row>
    <row r="65" spans="1:3" x14ac:dyDescent="0.25">
      <c r="A65" s="1">
        <v>58</v>
      </c>
      <c r="B65" s="1" t="s">
        <v>1</v>
      </c>
      <c r="C65" s="2" t="s">
        <v>21</v>
      </c>
    </row>
    <row r="66" spans="1:3" x14ac:dyDescent="0.25">
      <c r="A66" s="1">
        <v>59</v>
      </c>
      <c r="B66" s="1" t="s">
        <v>1</v>
      </c>
      <c r="C66" s="2" t="s">
        <v>20</v>
      </c>
    </row>
    <row r="67" spans="1:3" x14ac:dyDescent="0.25">
      <c r="A67" s="1">
        <v>60</v>
      </c>
      <c r="B67" s="1" t="s">
        <v>1</v>
      </c>
      <c r="C67" s="2" t="s">
        <v>29</v>
      </c>
    </row>
    <row r="68" spans="1:3" x14ac:dyDescent="0.25">
      <c r="A68" s="1">
        <v>61</v>
      </c>
      <c r="B68" s="1" t="s">
        <v>1</v>
      </c>
      <c r="C68" s="2" t="s">
        <v>19</v>
      </c>
    </row>
    <row r="69" spans="1:3" x14ac:dyDescent="0.25">
      <c r="A69" s="1">
        <v>62</v>
      </c>
      <c r="B69" s="1" t="s">
        <v>1</v>
      </c>
      <c r="C69" s="2" t="s">
        <v>18</v>
      </c>
    </row>
    <row r="70" spans="1:3" x14ac:dyDescent="0.25">
      <c r="A70" s="1">
        <v>63</v>
      </c>
      <c r="B70" s="1" t="s">
        <v>1</v>
      </c>
      <c r="C70" s="2" t="s">
        <v>17</v>
      </c>
    </row>
    <row r="71" spans="1:3" x14ac:dyDescent="0.25">
      <c r="A71" s="1">
        <v>64</v>
      </c>
      <c r="B71" s="1" t="s">
        <v>1</v>
      </c>
      <c r="C71" s="2" t="s">
        <v>2</v>
      </c>
    </row>
    <row r="72" spans="1:3" ht="15.75" x14ac:dyDescent="0.3">
      <c r="A72" s="1">
        <v>65</v>
      </c>
      <c r="B72" s="1" t="s">
        <v>1</v>
      </c>
      <c r="C72" s="15" t="s">
        <v>16</v>
      </c>
    </row>
    <row r="73" spans="1:3" x14ac:dyDescent="0.25">
      <c r="A73" s="1">
        <v>66</v>
      </c>
      <c r="B73" s="1" t="s">
        <v>1</v>
      </c>
      <c r="C73" s="2" t="s">
        <v>15</v>
      </c>
    </row>
    <row r="74" spans="1:3" x14ac:dyDescent="0.25">
      <c r="A74" s="1">
        <v>67</v>
      </c>
      <c r="B74" s="1" t="s">
        <v>1</v>
      </c>
      <c r="C74" s="2" t="s">
        <v>14</v>
      </c>
    </row>
    <row r="75" spans="1:3" x14ac:dyDescent="0.25">
      <c r="A75" s="1">
        <v>68</v>
      </c>
      <c r="B75" s="1" t="s">
        <v>1</v>
      </c>
      <c r="C75" s="2" t="s">
        <v>13</v>
      </c>
    </row>
    <row r="76" spans="1:3" x14ac:dyDescent="0.25">
      <c r="A76" s="1">
        <v>69</v>
      </c>
      <c r="B76" s="1" t="s">
        <v>1</v>
      </c>
      <c r="C76" s="2" t="s">
        <v>12</v>
      </c>
    </row>
    <row r="77" spans="1:3" x14ac:dyDescent="0.25">
      <c r="A77" s="1">
        <v>70</v>
      </c>
      <c r="B77" s="1" t="s">
        <v>1</v>
      </c>
      <c r="C77" s="2" t="s">
        <v>11</v>
      </c>
    </row>
    <row r="78" spans="1:3" x14ac:dyDescent="0.25">
      <c r="A78" s="1">
        <v>71</v>
      </c>
      <c r="B78" s="1" t="s">
        <v>1</v>
      </c>
      <c r="C78" s="2" t="s">
        <v>10</v>
      </c>
    </row>
    <row r="79" spans="1:3" x14ac:dyDescent="0.25">
      <c r="A79" s="1">
        <v>72</v>
      </c>
      <c r="B79" s="1" t="s">
        <v>1</v>
      </c>
      <c r="C79" s="2" t="s">
        <v>2</v>
      </c>
    </row>
    <row r="80" spans="1:3" ht="15.75" x14ac:dyDescent="0.3">
      <c r="A80" s="1">
        <v>73</v>
      </c>
      <c r="B80" s="1" t="s">
        <v>1</v>
      </c>
      <c r="C80" s="15" t="s">
        <v>9</v>
      </c>
    </row>
    <row r="81" spans="1:3" x14ac:dyDescent="0.25">
      <c r="A81" s="1">
        <v>74</v>
      </c>
      <c r="B81" s="1" t="s">
        <v>1</v>
      </c>
      <c r="C81" s="2" t="s">
        <v>8</v>
      </c>
    </row>
    <row r="82" spans="1:3" x14ac:dyDescent="0.25">
      <c r="A82" s="1">
        <v>75</v>
      </c>
      <c r="B82" s="1" t="s">
        <v>1</v>
      </c>
      <c r="C82" s="2" t="s">
        <v>7</v>
      </c>
    </row>
    <row r="83" spans="1:3" x14ac:dyDescent="0.25">
      <c r="A83" s="1">
        <v>76</v>
      </c>
      <c r="B83" s="1" t="s">
        <v>1</v>
      </c>
      <c r="C83" s="2" t="s">
        <v>6</v>
      </c>
    </row>
    <row r="84" spans="1:3" x14ac:dyDescent="0.25">
      <c r="A84" s="1">
        <v>77</v>
      </c>
      <c r="B84" s="1" t="s">
        <v>1</v>
      </c>
      <c r="C84" s="2" t="s">
        <v>5</v>
      </c>
    </row>
    <row r="85" spans="1:3" x14ac:dyDescent="0.25">
      <c r="A85" s="1">
        <v>78</v>
      </c>
      <c r="B85" s="1" t="s">
        <v>1</v>
      </c>
      <c r="C85" s="2" t="s">
        <v>4</v>
      </c>
    </row>
    <row r="86" spans="1:3" x14ac:dyDescent="0.25">
      <c r="A86" s="1">
        <v>79</v>
      </c>
      <c r="B86" s="1" t="s">
        <v>1</v>
      </c>
      <c r="C86" s="2" t="s">
        <v>3</v>
      </c>
    </row>
    <row r="87" spans="1:3" x14ac:dyDescent="0.25">
      <c r="A87" s="1">
        <v>80</v>
      </c>
      <c r="B87" s="1" t="s">
        <v>1</v>
      </c>
      <c r="C87" s="2" t="s">
        <v>2</v>
      </c>
    </row>
    <row r="88" spans="1:3" ht="15.75" x14ac:dyDescent="0.3">
      <c r="A88" s="1">
        <v>81</v>
      </c>
      <c r="B88" s="1" t="s">
        <v>1</v>
      </c>
      <c r="C88" s="14" t="s">
        <v>948</v>
      </c>
    </row>
    <row r="89" spans="1:3" x14ac:dyDescent="0.25">
      <c r="A89" s="1">
        <v>82</v>
      </c>
      <c r="B89" s="1" t="s">
        <v>1</v>
      </c>
      <c r="C89" s="1" t="s">
        <v>65</v>
      </c>
    </row>
    <row r="90" spans="1:3" x14ac:dyDescent="0.25">
      <c r="A90" s="1">
        <v>83</v>
      </c>
      <c r="B90" s="1" t="s">
        <v>1</v>
      </c>
      <c r="C90" s="1" t="s">
        <v>68</v>
      </c>
    </row>
    <row r="91" spans="1:3" x14ac:dyDescent="0.25">
      <c r="A91" s="1">
        <v>84</v>
      </c>
      <c r="B91" s="1" t="s">
        <v>1</v>
      </c>
      <c r="C91" s="1" t="s">
        <v>67</v>
      </c>
    </row>
    <row r="92" spans="1:3" x14ac:dyDescent="0.25">
      <c r="A92" s="1">
        <v>85</v>
      </c>
      <c r="B92" s="1" t="s">
        <v>1</v>
      </c>
      <c r="C92" s="1" t="s">
        <v>977</v>
      </c>
    </row>
    <row r="93" spans="1:3" x14ac:dyDescent="0.25">
      <c r="A93" s="1">
        <v>86</v>
      </c>
      <c r="B93" s="1" t="s">
        <v>1</v>
      </c>
      <c r="C93" s="1" t="s">
        <v>65</v>
      </c>
    </row>
    <row r="94" spans="1:3" x14ac:dyDescent="0.25">
      <c r="A94" s="1">
        <v>87</v>
      </c>
      <c r="B94" s="1" t="s">
        <v>1</v>
      </c>
      <c r="C94" s="1" t="s">
        <v>64</v>
      </c>
    </row>
    <row r="95" spans="1:3" x14ac:dyDescent="0.25">
      <c r="A95" s="1">
        <v>88</v>
      </c>
      <c r="B95" s="1" t="s">
        <v>1</v>
      </c>
      <c r="C95" s="1" t="s">
        <v>63</v>
      </c>
    </row>
    <row r="96" spans="1:3" x14ac:dyDescent="0.25">
      <c r="A96" s="1">
        <v>89</v>
      </c>
      <c r="B96" s="1" t="s">
        <v>1</v>
      </c>
      <c r="C96" s="1" t="s">
        <v>62</v>
      </c>
    </row>
    <row r="97" spans="1:3" x14ac:dyDescent="0.25">
      <c r="A97" s="1">
        <v>90</v>
      </c>
      <c r="B97" s="1" t="s">
        <v>1</v>
      </c>
      <c r="C97" s="1" t="s">
        <v>61</v>
      </c>
    </row>
    <row r="98" spans="1:3" x14ac:dyDescent="0.25">
      <c r="A98" s="1">
        <v>91</v>
      </c>
      <c r="B98" s="1" t="s">
        <v>1</v>
      </c>
      <c r="C98" s="1" t="s">
        <v>60</v>
      </c>
    </row>
    <row r="99" spans="1:3" x14ac:dyDescent="0.25">
      <c r="A99" s="1">
        <v>92</v>
      </c>
      <c r="B99" s="1" t="s">
        <v>1</v>
      </c>
      <c r="C99" s="1" t="s">
        <v>59</v>
      </c>
    </row>
    <row r="100" spans="1:3" x14ac:dyDescent="0.25">
      <c r="A100" s="1">
        <v>93</v>
      </c>
      <c r="B100" s="1" t="s">
        <v>1</v>
      </c>
      <c r="C100" s="1" t="s">
        <v>53</v>
      </c>
    </row>
    <row r="101" spans="1:3" x14ac:dyDescent="0.25">
      <c r="A101" s="1">
        <v>94</v>
      </c>
      <c r="B101" s="1" t="s">
        <v>1</v>
      </c>
      <c r="C101" s="1" t="s">
        <v>52</v>
      </c>
    </row>
    <row r="102" spans="1:3" x14ac:dyDescent="0.25">
      <c r="A102" s="1">
        <v>95</v>
      </c>
      <c r="B102" s="1" t="s">
        <v>1</v>
      </c>
      <c r="C102" s="1" t="s">
        <v>51</v>
      </c>
    </row>
    <row r="103" spans="1:3" x14ac:dyDescent="0.25">
      <c r="A103" s="1">
        <v>96</v>
      </c>
      <c r="B103" s="1" t="s">
        <v>1</v>
      </c>
      <c r="C103" s="1" t="s">
        <v>50</v>
      </c>
    </row>
    <row r="104" spans="1:3" x14ac:dyDescent="0.25">
      <c r="A104" s="1">
        <v>97</v>
      </c>
      <c r="B104" s="1" t="s">
        <v>1</v>
      </c>
      <c r="C104" s="1" t="s">
        <v>49</v>
      </c>
    </row>
    <row r="105" spans="1:3" x14ac:dyDescent="0.25">
      <c r="A105" s="1">
        <v>98</v>
      </c>
      <c r="B105" s="1" t="s">
        <v>1</v>
      </c>
      <c r="C105" s="1" t="s">
        <v>48</v>
      </c>
    </row>
    <row r="106" spans="1:3" x14ac:dyDescent="0.25">
      <c r="A106" s="1">
        <v>99</v>
      </c>
      <c r="B106" s="1" t="s">
        <v>1</v>
      </c>
      <c r="C106" s="1" t="s">
        <v>47</v>
      </c>
    </row>
    <row r="107" spans="1:3" x14ac:dyDescent="0.25">
      <c r="A107" s="1">
        <v>100</v>
      </c>
      <c r="B107" s="1" t="s">
        <v>1</v>
      </c>
      <c r="C107" s="1" t="s">
        <v>959</v>
      </c>
    </row>
    <row r="108" spans="1:3" x14ac:dyDescent="0.25">
      <c r="A108" s="1">
        <v>101</v>
      </c>
      <c r="B108" s="1" t="s">
        <v>1</v>
      </c>
      <c r="C108" s="1" t="s">
        <v>958</v>
      </c>
    </row>
    <row r="109" spans="1:3" x14ac:dyDescent="0.25">
      <c r="A109" s="1">
        <v>102</v>
      </c>
      <c r="B109" s="1" t="s">
        <v>1</v>
      </c>
      <c r="C109" s="1" t="s">
        <v>39</v>
      </c>
    </row>
    <row r="110" spans="1:3" x14ac:dyDescent="0.25">
      <c r="A110" s="1">
        <v>103</v>
      </c>
      <c r="B110" s="1" t="s">
        <v>1</v>
      </c>
      <c r="C110" s="1" t="s">
        <v>38</v>
      </c>
    </row>
    <row r="111" spans="1:3" x14ac:dyDescent="0.25">
      <c r="A111" s="1">
        <v>104</v>
      </c>
      <c r="B111" s="1" t="s">
        <v>1</v>
      </c>
      <c r="C111" s="1" t="s">
        <v>37</v>
      </c>
    </row>
    <row r="112" spans="1:3" x14ac:dyDescent="0.25">
      <c r="A112" s="1">
        <v>105</v>
      </c>
      <c r="B112" s="1" t="s">
        <v>1</v>
      </c>
      <c r="C112" s="1" t="s">
        <v>36</v>
      </c>
    </row>
    <row r="113" spans="1:3" x14ac:dyDescent="0.25">
      <c r="A113" s="1">
        <v>106</v>
      </c>
      <c r="B113" s="1" t="s">
        <v>1</v>
      </c>
      <c r="C113" s="1" t="s">
        <v>35</v>
      </c>
    </row>
    <row r="114" spans="1:3" x14ac:dyDescent="0.25">
      <c r="A114" s="1">
        <v>107</v>
      </c>
      <c r="B114" s="1" t="s">
        <v>1</v>
      </c>
      <c r="C114" s="1" t="s">
        <v>34</v>
      </c>
    </row>
    <row r="115" spans="1:3" x14ac:dyDescent="0.25">
      <c r="A115" s="1">
        <v>108</v>
      </c>
      <c r="B115" s="1" t="s">
        <v>1</v>
      </c>
      <c r="C115" s="1" t="s">
        <v>33</v>
      </c>
    </row>
    <row r="116" spans="1:3" x14ac:dyDescent="0.25">
      <c r="A116" s="1">
        <v>109</v>
      </c>
      <c r="B116" s="1" t="s">
        <v>1</v>
      </c>
      <c r="C116" s="1" t="s">
        <v>28</v>
      </c>
    </row>
    <row r="117" spans="1:3" x14ac:dyDescent="0.25">
      <c r="A117" s="1">
        <v>110</v>
      </c>
      <c r="B117" s="1" t="s">
        <v>1</v>
      </c>
      <c r="C117" s="1" t="s">
        <v>19</v>
      </c>
    </row>
    <row r="118" spans="1:3" x14ac:dyDescent="0.25">
      <c r="A118" s="1">
        <v>111</v>
      </c>
      <c r="B118" s="1" t="s">
        <v>1</v>
      </c>
      <c r="C118" s="1" t="s">
        <v>27</v>
      </c>
    </row>
    <row r="119" spans="1:3" x14ac:dyDescent="0.25">
      <c r="A119" s="1">
        <v>112</v>
      </c>
      <c r="B119" s="1" t="s">
        <v>1</v>
      </c>
      <c r="C119" s="1" t="s">
        <v>26</v>
      </c>
    </row>
    <row r="120" spans="1:3" x14ac:dyDescent="0.25">
      <c r="A120" s="1">
        <v>113</v>
      </c>
      <c r="B120" s="1" t="s">
        <v>1</v>
      </c>
      <c r="C120" s="1" t="s">
        <v>25</v>
      </c>
    </row>
    <row r="121" spans="1:3" x14ac:dyDescent="0.25">
      <c r="A121" s="1">
        <v>114</v>
      </c>
      <c r="B121" s="1" t="s">
        <v>1</v>
      </c>
      <c r="C121" s="1" t="s">
        <v>24</v>
      </c>
    </row>
    <row r="122" spans="1:3" x14ac:dyDescent="0.25">
      <c r="A122" s="1">
        <v>115</v>
      </c>
      <c r="B122" s="1" t="s">
        <v>1</v>
      </c>
      <c r="C122" s="1" t="s">
        <v>23</v>
      </c>
    </row>
    <row r="123" spans="1:3" x14ac:dyDescent="0.25">
      <c r="A123" s="1">
        <v>116</v>
      </c>
      <c r="B123" s="1" t="s">
        <v>1</v>
      </c>
      <c r="C123" s="1" t="s">
        <v>975</v>
      </c>
    </row>
    <row r="124" spans="1:3" x14ac:dyDescent="0.25">
      <c r="A124" s="1">
        <v>117</v>
      </c>
      <c r="B124" s="1" t="s">
        <v>1</v>
      </c>
      <c r="C124" s="1" t="s">
        <v>974</v>
      </c>
    </row>
    <row r="125" spans="1:3" x14ac:dyDescent="0.25">
      <c r="A125" s="1">
        <v>118</v>
      </c>
      <c r="B125" s="1" t="s">
        <v>1</v>
      </c>
      <c r="C125" s="1" t="s">
        <v>976</v>
      </c>
    </row>
    <row r="126" spans="1:3" x14ac:dyDescent="0.25">
      <c r="A126" s="1">
        <v>119</v>
      </c>
      <c r="B126" s="1" t="s">
        <v>1</v>
      </c>
      <c r="C126" s="1" t="s">
        <v>29</v>
      </c>
    </row>
    <row r="127" spans="1:3" x14ac:dyDescent="0.25">
      <c r="A127" s="1">
        <v>120</v>
      </c>
      <c r="B127" s="1" t="s">
        <v>1</v>
      </c>
      <c r="C127" s="1" t="s">
        <v>19</v>
      </c>
    </row>
    <row r="128" spans="1:3" x14ac:dyDescent="0.25">
      <c r="A128" s="1">
        <v>121</v>
      </c>
      <c r="B128" s="1" t="s">
        <v>1</v>
      </c>
      <c r="C128" s="1" t="s">
        <v>18</v>
      </c>
    </row>
    <row r="129" spans="1:3" x14ac:dyDescent="0.25">
      <c r="A129" s="1">
        <v>122</v>
      </c>
      <c r="B129" s="1" t="s">
        <v>1</v>
      </c>
      <c r="C129" s="1" t="s">
        <v>17</v>
      </c>
    </row>
    <row r="130" spans="1:3" x14ac:dyDescent="0.25">
      <c r="A130" s="1">
        <v>123</v>
      </c>
      <c r="B130" s="1" t="s">
        <v>1</v>
      </c>
      <c r="C130" s="1" t="s">
        <v>2</v>
      </c>
    </row>
    <row r="131" spans="1:3" x14ac:dyDescent="0.25">
      <c r="A131" s="1">
        <v>124</v>
      </c>
      <c r="B131" s="1" t="s">
        <v>1</v>
      </c>
      <c r="C131" s="2" t="s">
        <v>0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417"/>
  <sheetViews>
    <sheetView tabSelected="1" topLeftCell="A1288" workbookViewId="0">
      <selection activeCell="C1316" sqref="C1316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222</v>
      </c>
      <c r="B1" s="5"/>
      <c r="C1" s="6"/>
    </row>
    <row r="2" spans="1:3" x14ac:dyDescent="0.25">
      <c r="A2" s="4" t="s">
        <v>223</v>
      </c>
      <c r="B2" s="1" t="s">
        <v>1</v>
      </c>
      <c r="C2" s="2" t="s">
        <v>627</v>
      </c>
    </row>
    <row r="3" spans="1:3" x14ac:dyDescent="0.25">
      <c r="A3" s="4" t="s">
        <v>154</v>
      </c>
      <c r="B3" s="1" t="s">
        <v>1</v>
      </c>
      <c r="C3" s="2" t="s">
        <v>224</v>
      </c>
    </row>
    <row r="4" spans="1:3" x14ac:dyDescent="0.25">
      <c r="A4" s="4" t="s">
        <v>152</v>
      </c>
      <c r="B4" s="1" t="s">
        <v>1</v>
      </c>
      <c r="C4" s="2">
        <v>0</v>
      </c>
    </row>
    <row r="5" spans="1:3" x14ac:dyDescent="0.25">
      <c r="A5" s="4" t="s">
        <v>151</v>
      </c>
      <c r="B5" s="1" t="s">
        <v>1</v>
      </c>
      <c r="C5" s="2">
        <v>0</v>
      </c>
    </row>
    <row r="6" spans="1:3" x14ac:dyDescent="0.25">
      <c r="A6" s="4" t="s">
        <v>150</v>
      </c>
      <c r="B6" s="1" t="s">
        <v>1</v>
      </c>
      <c r="C6" s="2" t="s">
        <v>192</v>
      </c>
    </row>
    <row r="7" spans="1:3" x14ac:dyDescent="0.25">
      <c r="A7" s="4" t="s">
        <v>120</v>
      </c>
      <c r="B7" s="1" t="s">
        <v>1</v>
      </c>
      <c r="C7" s="2" t="s">
        <v>192</v>
      </c>
    </row>
    <row r="9" spans="1:3" s="7" customFormat="1" ht="15.75" x14ac:dyDescent="0.3">
      <c r="A9" s="5" t="s">
        <v>225</v>
      </c>
      <c r="B9" s="5"/>
      <c r="C9" s="6"/>
    </row>
    <row r="10" spans="1:3" x14ac:dyDescent="0.25">
      <c r="A10" s="4" t="s">
        <v>154</v>
      </c>
      <c r="B10" s="1" t="s">
        <v>1</v>
      </c>
      <c r="C10" s="2" t="s">
        <v>226</v>
      </c>
    </row>
    <row r="11" spans="1:3" x14ac:dyDescent="0.25">
      <c r="A11" s="4" t="s">
        <v>152</v>
      </c>
      <c r="B11" s="1" t="s">
        <v>1</v>
      </c>
      <c r="C11" s="2">
        <v>0</v>
      </c>
    </row>
    <row r="12" spans="1:3" x14ac:dyDescent="0.25">
      <c r="A12" s="4" t="s">
        <v>151</v>
      </c>
      <c r="B12" s="1" t="s">
        <v>1</v>
      </c>
      <c r="C12" s="2">
        <v>2</v>
      </c>
    </row>
    <row r="13" spans="1:3" x14ac:dyDescent="0.25">
      <c r="A13" s="4" t="s">
        <v>150</v>
      </c>
      <c r="B13" s="1" t="s">
        <v>1</v>
      </c>
      <c r="C13" s="2" t="s">
        <v>192</v>
      </c>
    </row>
    <row r="14" spans="1:3" x14ac:dyDescent="0.25">
      <c r="A14" s="4" t="s">
        <v>120</v>
      </c>
      <c r="B14" s="1" t="s">
        <v>1</v>
      </c>
      <c r="C14" s="2" t="s">
        <v>227</v>
      </c>
    </row>
    <row r="15" spans="1:3" x14ac:dyDescent="0.25">
      <c r="A15" s="4" t="s">
        <v>119</v>
      </c>
      <c r="B15" s="1" t="s">
        <v>1</v>
      </c>
      <c r="C15" s="2" t="s">
        <v>228</v>
      </c>
    </row>
    <row r="17" spans="1:3" s="7" customFormat="1" ht="15.75" x14ac:dyDescent="0.3">
      <c r="A17" s="5" t="s">
        <v>229</v>
      </c>
      <c r="B17" s="5"/>
      <c r="C17" s="6"/>
    </row>
    <row r="18" spans="1:3" x14ac:dyDescent="0.25">
      <c r="A18" s="4" t="s">
        <v>154</v>
      </c>
      <c r="B18" s="1" t="s">
        <v>1</v>
      </c>
      <c r="C18" s="2" t="s">
        <v>230</v>
      </c>
    </row>
    <row r="19" spans="1:3" x14ac:dyDescent="0.25">
      <c r="A19" s="4" t="s">
        <v>152</v>
      </c>
      <c r="B19" s="1" t="s">
        <v>1</v>
      </c>
      <c r="C19" s="2">
        <v>0</v>
      </c>
    </row>
    <row r="20" spans="1:3" x14ac:dyDescent="0.25">
      <c r="A20" s="4" t="s">
        <v>151</v>
      </c>
      <c r="B20" s="1" t="s">
        <v>1</v>
      </c>
      <c r="C20" s="2">
        <v>1</v>
      </c>
    </row>
    <row r="21" spans="1:3" x14ac:dyDescent="0.25">
      <c r="A21" s="4" t="s">
        <v>150</v>
      </c>
      <c r="B21" s="1" t="s">
        <v>1</v>
      </c>
      <c r="C21" s="2" t="s">
        <v>231</v>
      </c>
    </row>
    <row r="22" spans="1:3" x14ac:dyDescent="0.25">
      <c r="A22" s="4" t="s">
        <v>120</v>
      </c>
      <c r="B22" s="1" t="s">
        <v>1</v>
      </c>
      <c r="C22" s="2" t="s">
        <v>232</v>
      </c>
    </row>
    <row r="24" spans="1:3" s="7" customFormat="1" ht="15.75" x14ac:dyDescent="0.3">
      <c r="A24" s="5" t="s">
        <v>233</v>
      </c>
      <c r="B24" s="5"/>
      <c r="C24" s="6"/>
    </row>
    <row r="25" spans="1:3" x14ac:dyDescent="0.25">
      <c r="A25" s="4" t="s">
        <v>154</v>
      </c>
      <c r="B25" s="1" t="s">
        <v>1</v>
      </c>
      <c r="C25" s="2" t="s">
        <v>230</v>
      </c>
    </row>
    <row r="26" spans="1:3" x14ac:dyDescent="0.25">
      <c r="A26" s="4" t="s">
        <v>152</v>
      </c>
      <c r="B26" s="1" t="s">
        <v>1</v>
      </c>
      <c r="C26" s="2">
        <v>0</v>
      </c>
    </row>
    <row r="27" spans="1:3" x14ac:dyDescent="0.25">
      <c r="A27" s="4" t="s">
        <v>151</v>
      </c>
      <c r="B27" s="1" t="s">
        <v>1</v>
      </c>
      <c r="C27" s="2">
        <v>1</v>
      </c>
    </row>
    <row r="28" spans="1:3" x14ac:dyDescent="0.25">
      <c r="A28" s="4" t="s">
        <v>150</v>
      </c>
      <c r="B28" s="1" t="s">
        <v>1</v>
      </c>
      <c r="C28" s="2" t="s">
        <v>234</v>
      </c>
    </row>
    <row r="29" spans="1:3" x14ac:dyDescent="0.25">
      <c r="A29" s="4" t="s">
        <v>235</v>
      </c>
      <c r="B29" s="1" t="s">
        <v>1</v>
      </c>
      <c r="C29" s="2" t="s">
        <v>236</v>
      </c>
    </row>
    <row r="30" spans="1:3" x14ac:dyDescent="0.25">
      <c r="A30" s="4" t="s">
        <v>120</v>
      </c>
      <c r="B30" s="1" t="s">
        <v>1</v>
      </c>
      <c r="C30" s="2" t="s">
        <v>237</v>
      </c>
    </row>
    <row r="32" spans="1:3" s="7" customFormat="1" ht="15.75" x14ac:dyDescent="0.3">
      <c r="A32" s="5" t="s">
        <v>238</v>
      </c>
      <c r="B32" s="5"/>
      <c r="C32" s="6"/>
    </row>
    <row r="33" spans="1:3" x14ac:dyDescent="0.25">
      <c r="A33" s="4" t="s">
        <v>154</v>
      </c>
      <c r="B33" s="1" t="s">
        <v>1</v>
      </c>
      <c r="C33" s="2" t="s">
        <v>239</v>
      </c>
    </row>
    <row r="34" spans="1:3" x14ac:dyDescent="0.25">
      <c r="A34" s="4" t="s">
        <v>152</v>
      </c>
      <c r="B34" s="1" t="s">
        <v>1</v>
      </c>
      <c r="C34" s="2">
        <v>0</v>
      </c>
    </row>
    <row r="35" spans="1:3" x14ac:dyDescent="0.25">
      <c r="A35" s="4" t="s">
        <v>151</v>
      </c>
      <c r="B35" s="1" t="s">
        <v>1</v>
      </c>
      <c r="C35" s="9">
        <f>COUNTA(A43:A49)</f>
        <v>7</v>
      </c>
    </row>
    <row r="36" spans="1:3" x14ac:dyDescent="0.25">
      <c r="A36" s="4" t="s">
        <v>150</v>
      </c>
      <c r="B36" s="1" t="s">
        <v>1</v>
      </c>
      <c r="C36" s="2" t="s">
        <v>240</v>
      </c>
    </row>
    <row r="37" spans="1:3" x14ac:dyDescent="0.25">
      <c r="A37" s="4" t="s">
        <v>149</v>
      </c>
      <c r="B37" s="1" t="s">
        <v>1</v>
      </c>
      <c r="C37" s="2" t="s">
        <v>241</v>
      </c>
    </row>
    <row r="38" spans="1:3" x14ac:dyDescent="0.25">
      <c r="A38" s="4" t="s">
        <v>148</v>
      </c>
      <c r="B38" s="1" t="s">
        <v>1</v>
      </c>
      <c r="C38" s="2" t="s">
        <v>242</v>
      </c>
    </row>
    <row r="39" spans="1:3" x14ac:dyDescent="0.25">
      <c r="A39" s="4" t="s">
        <v>147</v>
      </c>
      <c r="B39" s="1" t="s">
        <v>1</v>
      </c>
      <c r="C39" s="2" t="s">
        <v>243</v>
      </c>
    </row>
    <row r="40" spans="1:3" x14ac:dyDescent="0.25">
      <c r="A40" s="4" t="s">
        <v>146</v>
      </c>
      <c r="B40" s="1" t="s">
        <v>1</v>
      </c>
      <c r="C40" s="2" t="s">
        <v>874</v>
      </c>
    </row>
    <row r="41" spans="1:3" x14ac:dyDescent="0.25">
      <c r="A41" s="4" t="s">
        <v>145</v>
      </c>
      <c r="B41" s="1" t="s">
        <v>1</v>
      </c>
      <c r="C41" s="2" t="s">
        <v>244</v>
      </c>
    </row>
    <row r="42" spans="1:3" x14ac:dyDescent="0.25">
      <c r="A42" s="4" t="s">
        <v>144</v>
      </c>
      <c r="B42" s="1" t="s">
        <v>1</v>
      </c>
      <c r="C42" s="2" t="s">
        <v>245</v>
      </c>
    </row>
    <row r="43" spans="1:3" x14ac:dyDescent="0.25">
      <c r="A43" s="4" t="s">
        <v>120</v>
      </c>
      <c r="B43" s="1" t="s">
        <v>1</v>
      </c>
      <c r="C43" s="2" t="s">
        <v>875</v>
      </c>
    </row>
    <row r="44" spans="1:3" x14ac:dyDescent="0.25">
      <c r="A44" s="4" t="s">
        <v>119</v>
      </c>
      <c r="B44" s="1" t="s">
        <v>1</v>
      </c>
      <c r="C44" s="2" t="s">
        <v>662</v>
      </c>
    </row>
    <row r="45" spans="1:3" x14ac:dyDescent="0.25">
      <c r="A45" s="4" t="s">
        <v>118</v>
      </c>
      <c r="B45" s="1" t="s">
        <v>1</v>
      </c>
      <c r="C45" s="2" t="s">
        <v>663</v>
      </c>
    </row>
    <row r="46" spans="1:3" x14ac:dyDescent="0.25">
      <c r="A46" s="4" t="s">
        <v>117</v>
      </c>
      <c r="B46" s="1" t="s">
        <v>1</v>
      </c>
      <c r="C46" s="2" t="s">
        <v>664</v>
      </c>
    </row>
    <row r="47" spans="1:3" x14ac:dyDescent="0.25">
      <c r="A47" s="4" t="s">
        <v>116</v>
      </c>
      <c r="B47" s="1" t="s">
        <v>1</v>
      </c>
      <c r="C47" s="2" t="s">
        <v>876</v>
      </c>
    </row>
    <row r="48" spans="1:3" x14ac:dyDescent="0.25">
      <c r="A48" s="4" t="s">
        <v>115</v>
      </c>
      <c r="B48" s="1" t="s">
        <v>1</v>
      </c>
      <c r="C48" s="2" t="s">
        <v>665</v>
      </c>
    </row>
    <row r="49" spans="1:3" x14ac:dyDescent="0.25">
      <c r="A49" s="4" t="s">
        <v>114</v>
      </c>
      <c r="B49" s="1" t="s">
        <v>1</v>
      </c>
      <c r="C49" s="2" t="s">
        <v>666</v>
      </c>
    </row>
    <row r="51" spans="1:3" s="7" customFormat="1" ht="15.75" x14ac:dyDescent="0.3">
      <c r="A51" s="5" t="s">
        <v>246</v>
      </c>
      <c r="B51" s="5"/>
      <c r="C51" s="6"/>
    </row>
    <row r="52" spans="1:3" x14ac:dyDescent="0.25">
      <c r="A52" s="4" t="s">
        <v>154</v>
      </c>
      <c r="B52" s="1" t="s">
        <v>1</v>
      </c>
      <c r="C52" s="2" t="s">
        <v>247</v>
      </c>
    </row>
    <row r="53" spans="1:3" x14ac:dyDescent="0.25">
      <c r="A53" s="4" t="s">
        <v>152</v>
      </c>
      <c r="B53" s="1" t="s">
        <v>1</v>
      </c>
      <c r="C53" s="2">
        <v>0</v>
      </c>
    </row>
    <row r="54" spans="1:3" x14ac:dyDescent="0.25">
      <c r="A54" s="4" t="s">
        <v>151</v>
      </c>
      <c r="B54" s="1" t="s">
        <v>1</v>
      </c>
      <c r="C54" s="9">
        <f>COUNTA(A58:A59)</f>
        <v>2</v>
      </c>
    </row>
    <row r="55" spans="1:3" x14ac:dyDescent="0.25">
      <c r="A55" s="4" t="s">
        <v>150</v>
      </c>
      <c r="B55" s="1" t="s">
        <v>1</v>
      </c>
      <c r="C55" s="2" t="s">
        <v>192</v>
      </c>
    </row>
    <row r="56" spans="1:3" x14ac:dyDescent="0.25">
      <c r="A56" s="4" t="s">
        <v>149</v>
      </c>
      <c r="B56" s="1" t="s">
        <v>1</v>
      </c>
      <c r="C56" s="2" t="s">
        <v>248</v>
      </c>
    </row>
    <row r="57" spans="1:3" x14ac:dyDescent="0.25">
      <c r="A57" s="4" t="s">
        <v>148</v>
      </c>
      <c r="B57" s="1" t="s">
        <v>1</v>
      </c>
      <c r="C57" s="2" t="s">
        <v>249</v>
      </c>
    </row>
    <row r="58" spans="1:3" x14ac:dyDescent="0.25">
      <c r="A58" s="4" t="s">
        <v>120</v>
      </c>
      <c r="B58" s="1" t="s">
        <v>1</v>
      </c>
      <c r="C58" s="2" t="s">
        <v>250</v>
      </c>
    </row>
    <row r="59" spans="1:3" x14ac:dyDescent="0.25">
      <c r="A59" s="4" t="s">
        <v>119</v>
      </c>
      <c r="B59" s="1" t="s">
        <v>1</v>
      </c>
      <c r="C59" s="2" t="s">
        <v>251</v>
      </c>
    </row>
    <row r="61" spans="1:3" s="7" customFormat="1" ht="15.75" x14ac:dyDescent="0.3">
      <c r="A61" s="5" t="s">
        <v>252</v>
      </c>
      <c r="B61" s="5"/>
      <c r="C61" s="6"/>
    </row>
    <row r="62" spans="1:3" x14ac:dyDescent="0.25">
      <c r="A62" s="4" t="s">
        <v>154</v>
      </c>
      <c r="B62" s="1" t="s">
        <v>1</v>
      </c>
      <c r="C62" s="2" t="s">
        <v>253</v>
      </c>
    </row>
    <row r="63" spans="1:3" x14ac:dyDescent="0.25">
      <c r="A63" s="4" t="s">
        <v>152</v>
      </c>
      <c r="B63" s="1" t="s">
        <v>1</v>
      </c>
      <c r="C63" s="2">
        <v>0</v>
      </c>
    </row>
    <row r="64" spans="1:3" x14ac:dyDescent="0.25">
      <c r="A64" s="4" t="s">
        <v>151</v>
      </c>
      <c r="B64" s="1" t="s">
        <v>1</v>
      </c>
      <c r="C64" s="2">
        <v>2</v>
      </c>
    </row>
    <row r="65" spans="1:3" x14ac:dyDescent="0.25">
      <c r="A65" s="4" t="s">
        <v>150</v>
      </c>
      <c r="B65" s="1" t="s">
        <v>1</v>
      </c>
      <c r="C65" s="2" t="s">
        <v>192</v>
      </c>
    </row>
    <row r="66" spans="1:3" x14ac:dyDescent="0.25">
      <c r="A66" s="4" t="s">
        <v>149</v>
      </c>
      <c r="B66" s="1" t="s">
        <v>1</v>
      </c>
      <c r="C66" s="2" t="s">
        <v>192</v>
      </c>
    </row>
    <row r="67" spans="1:3" x14ac:dyDescent="0.25">
      <c r="A67" s="4" t="s">
        <v>120</v>
      </c>
      <c r="B67" s="1" t="s">
        <v>1</v>
      </c>
      <c r="C67" s="2" t="s">
        <v>254</v>
      </c>
    </row>
    <row r="68" spans="1:3" x14ac:dyDescent="0.25">
      <c r="A68" s="4" t="s">
        <v>119</v>
      </c>
      <c r="B68" s="1" t="s">
        <v>1</v>
      </c>
      <c r="C68" s="2" t="s">
        <v>255</v>
      </c>
    </row>
    <row r="70" spans="1:3" s="7" customFormat="1" ht="15.75" x14ac:dyDescent="0.3">
      <c r="A70" s="5" t="s">
        <v>256</v>
      </c>
      <c r="B70" s="5"/>
      <c r="C70" s="6"/>
    </row>
    <row r="71" spans="1:3" x14ac:dyDescent="0.25">
      <c r="A71" s="4" t="s">
        <v>154</v>
      </c>
      <c r="B71" s="1" t="s">
        <v>1</v>
      </c>
      <c r="C71" s="2" t="s">
        <v>257</v>
      </c>
    </row>
    <row r="72" spans="1:3" x14ac:dyDescent="0.25">
      <c r="A72" s="4" t="s">
        <v>152</v>
      </c>
      <c r="B72" s="1" t="s">
        <v>1</v>
      </c>
      <c r="C72" s="2">
        <v>0</v>
      </c>
    </row>
    <row r="73" spans="1:3" x14ac:dyDescent="0.25">
      <c r="A73" s="4" t="s">
        <v>151</v>
      </c>
      <c r="B73" s="1" t="s">
        <v>1</v>
      </c>
      <c r="C73" s="2">
        <v>2</v>
      </c>
    </row>
    <row r="74" spans="1:3" x14ac:dyDescent="0.25">
      <c r="A74" s="4" t="s">
        <v>150</v>
      </c>
      <c r="B74" s="1" t="s">
        <v>1</v>
      </c>
      <c r="C74" s="2" t="s">
        <v>192</v>
      </c>
    </row>
    <row r="75" spans="1:3" x14ac:dyDescent="0.25">
      <c r="A75" s="4" t="s">
        <v>149</v>
      </c>
      <c r="B75" s="1" t="s">
        <v>1</v>
      </c>
      <c r="C75" s="2" t="s">
        <v>192</v>
      </c>
    </row>
    <row r="76" spans="1:3" x14ac:dyDescent="0.25">
      <c r="A76" s="4" t="s">
        <v>120</v>
      </c>
      <c r="B76" s="1" t="s">
        <v>1</v>
      </c>
      <c r="C76" s="2" t="s">
        <v>258</v>
      </c>
    </row>
    <row r="77" spans="1:3" x14ac:dyDescent="0.25">
      <c r="A77" s="4" t="s">
        <v>119</v>
      </c>
      <c r="B77" s="1" t="s">
        <v>1</v>
      </c>
      <c r="C77" s="2" t="s">
        <v>259</v>
      </c>
    </row>
    <row r="79" spans="1:3" s="7" customFormat="1" ht="15.75" x14ac:dyDescent="0.3">
      <c r="A79" s="5" t="s">
        <v>947</v>
      </c>
      <c r="B79" s="5"/>
      <c r="C79" s="6"/>
    </row>
    <row r="80" spans="1:3" x14ac:dyDescent="0.25">
      <c r="A80" s="4" t="s">
        <v>154</v>
      </c>
      <c r="B80" s="1" t="s">
        <v>1</v>
      </c>
      <c r="C80" s="2" t="s">
        <v>981</v>
      </c>
    </row>
    <row r="81" spans="1:3" x14ac:dyDescent="0.25">
      <c r="A81" s="4" t="s">
        <v>152</v>
      </c>
      <c r="B81" s="1" t="s">
        <v>1</v>
      </c>
      <c r="C81" s="2">
        <v>0</v>
      </c>
    </row>
    <row r="82" spans="1:3" x14ac:dyDescent="0.25">
      <c r="A82" s="4" t="s">
        <v>151</v>
      </c>
      <c r="B82" s="1" t="s">
        <v>1</v>
      </c>
      <c r="C82" s="2">
        <v>2</v>
      </c>
    </row>
    <row r="83" spans="1:3" x14ac:dyDescent="0.25">
      <c r="A83" s="4" t="s">
        <v>150</v>
      </c>
      <c r="B83" s="1" t="s">
        <v>1</v>
      </c>
      <c r="C83" s="2" t="s">
        <v>192</v>
      </c>
    </row>
    <row r="84" spans="1:3" x14ac:dyDescent="0.25">
      <c r="A84" s="4" t="s">
        <v>149</v>
      </c>
      <c r="B84" s="1" t="s">
        <v>1</v>
      </c>
      <c r="C84" s="2" t="s">
        <v>192</v>
      </c>
    </row>
    <row r="85" spans="1:3" x14ac:dyDescent="0.25">
      <c r="A85" s="4" t="s">
        <v>120</v>
      </c>
      <c r="B85" s="1" t="s">
        <v>1</v>
      </c>
      <c r="C85" s="2" t="s">
        <v>978</v>
      </c>
    </row>
    <row r="86" spans="1:3" x14ac:dyDescent="0.25">
      <c r="A86" s="4" t="s">
        <v>119</v>
      </c>
      <c r="B86" s="1" t="s">
        <v>1</v>
      </c>
      <c r="C86" s="2" t="s">
        <v>979</v>
      </c>
    </row>
    <row r="88" spans="1:3" s="7" customFormat="1" ht="15.75" x14ac:dyDescent="0.3">
      <c r="A88" s="5" t="s">
        <v>260</v>
      </c>
      <c r="B88" s="5"/>
      <c r="C88" s="6"/>
    </row>
    <row r="89" spans="1:3" x14ac:dyDescent="0.25">
      <c r="A89" s="4" t="s">
        <v>154</v>
      </c>
      <c r="B89" s="1" t="s">
        <v>1</v>
      </c>
      <c r="C89" s="2" t="s">
        <v>261</v>
      </c>
    </row>
    <row r="90" spans="1:3" x14ac:dyDescent="0.25">
      <c r="A90" s="4" t="s">
        <v>152</v>
      </c>
      <c r="B90" s="1" t="s">
        <v>1</v>
      </c>
      <c r="C90" s="2">
        <v>0</v>
      </c>
    </row>
    <row r="91" spans="1:3" x14ac:dyDescent="0.25">
      <c r="A91" s="4" t="s">
        <v>151</v>
      </c>
      <c r="B91" s="1" t="s">
        <v>1</v>
      </c>
      <c r="C91" s="2">
        <v>2</v>
      </c>
    </row>
    <row r="92" spans="1:3" x14ac:dyDescent="0.25">
      <c r="A92" s="4" t="s">
        <v>150</v>
      </c>
      <c r="B92" s="1" t="s">
        <v>1</v>
      </c>
      <c r="C92" s="2" t="s">
        <v>902</v>
      </c>
    </row>
    <row r="93" spans="1:3" x14ac:dyDescent="0.25">
      <c r="A93" s="4" t="s">
        <v>149</v>
      </c>
      <c r="B93" s="1" t="s">
        <v>1</v>
      </c>
      <c r="C93" s="2" t="s">
        <v>896</v>
      </c>
    </row>
    <row r="94" spans="1:3" x14ac:dyDescent="0.25">
      <c r="A94" s="4" t="s">
        <v>120</v>
      </c>
      <c r="B94" s="1" t="s">
        <v>1</v>
      </c>
      <c r="C94" s="2" t="s">
        <v>262</v>
      </c>
    </row>
    <row r="95" spans="1:3" x14ac:dyDescent="0.25">
      <c r="A95" s="4" t="s">
        <v>119</v>
      </c>
      <c r="B95" s="1" t="s">
        <v>1</v>
      </c>
      <c r="C95" s="2" t="s">
        <v>839</v>
      </c>
    </row>
    <row r="97" spans="1:3" s="7" customFormat="1" ht="15.75" x14ac:dyDescent="0.3">
      <c r="A97" s="5" t="s">
        <v>263</v>
      </c>
      <c r="B97" s="5"/>
      <c r="C97" s="6"/>
    </row>
    <row r="98" spans="1:3" x14ac:dyDescent="0.25">
      <c r="A98" s="4" t="s">
        <v>264</v>
      </c>
      <c r="B98" s="1" t="s">
        <v>1</v>
      </c>
      <c r="C98" s="2" t="s">
        <v>77</v>
      </c>
    </row>
    <row r="99" spans="1:3" x14ac:dyDescent="0.25">
      <c r="A99" s="4" t="s">
        <v>154</v>
      </c>
      <c r="B99" s="1" t="s">
        <v>1</v>
      </c>
      <c r="C99" s="2" t="s">
        <v>192</v>
      </c>
    </row>
    <row r="100" spans="1:3" x14ac:dyDescent="0.25">
      <c r="A100" s="4" t="s">
        <v>152</v>
      </c>
      <c r="B100" s="1" t="s">
        <v>1</v>
      </c>
      <c r="C100" s="2">
        <v>0</v>
      </c>
    </row>
    <row r="101" spans="1:3" x14ac:dyDescent="0.25">
      <c r="A101" s="4" t="s">
        <v>151</v>
      </c>
      <c r="B101" s="1" t="s">
        <v>1</v>
      </c>
      <c r="C101" s="2">
        <v>1</v>
      </c>
    </row>
    <row r="102" spans="1:3" x14ac:dyDescent="0.25">
      <c r="A102" s="4" t="s">
        <v>150</v>
      </c>
      <c r="B102" s="1" t="s">
        <v>1</v>
      </c>
      <c r="C102" s="2" t="s">
        <v>898</v>
      </c>
    </row>
    <row r="103" spans="1:3" x14ac:dyDescent="0.25">
      <c r="A103" s="4" t="s">
        <v>120</v>
      </c>
      <c r="B103" s="1" t="s">
        <v>1</v>
      </c>
      <c r="C103" s="2" t="s">
        <v>265</v>
      </c>
    </row>
    <row r="105" spans="1:3" s="7" customFormat="1" ht="15.75" x14ac:dyDescent="0.3">
      <c r="A105" s="5" t="s">
        <v>266</v>
      </c>
      <c r="B105" s="5"/>
      <c r="C105" s="6"/>
    </row>
    <row r="106" spans="1:3" x14ac:dyDescent="0.25">
      <c r="A106" s="4" t="s">
        <v>154</v>
      </c>
      <c r="B106" s="1" t="s">
        <v>1</v>
      </c>
      <c r="C106" s="2" t="s">
        <v>192</v>
      </c>
    </row>
    <row r="107" spans="1:3" x14ac:dyDescent="0.25">
      <c r="A107" s="4" t="s">
        <v>152</v>
      </c>
      <c r="B107" s="1" t="s">
        <v>1</v>
      </c>
      <c r="C107" s="2">
        <v>0</v>
      </c>
    </row>
    <row r="108" spans="1:3" x14ac:dyDescent="0.25">
      <c r="A108" s="4" t="s">
        <v>151</v>
      </c>
      <c r="B108" s="1" t="s">
        <v>1</v>
      </c>
      <c r="C108" s="2">
        <v>2</v>
      </c>
    </row>
    <row r="109" spans="1:3" x14ac:dyDescent="0.25">
      <c r="A109" s="4" t="s">
        <v>150</v>
      </c>
      <c r="B109" s="1" t="s">
        <v>1</v>
      </c>
      <c r="C109" s="2" t="s">
        <v>897</v>
      </c>
    </row>
    <row r="110" spans="1:3" x14ac:dyDescent="0.25">
      <c r="A110" s="4" t="s">
        <v>149</v>
      </c>
      <c r="B110" s="1" t="s">
        <v>1</v>
      </c>
      <c r="C110" s="2" t="s">
        <v>895</v>
      </c>
    </row>
    <row r="111" spans="1:3" x14ac:dyDescent="0.25">
      <c r="A111" s="4" t="s">
        <v>120</v>
      </c>
      <c r="B111" s="1" t="s">
        <v>1</v>
      </c>
      <c r="C111" s="2" t="s">
        <v>267</v>
      </c>
    </row>
    <row r="112" spans="1:3" x14ac:dyDescent="0.25">
      <c r="A112" s="4" t="s">
        <v>119</v>
      </c>
      <c r="B112" s="1" t="s">
        <v>1</v>
      </c>
      <c r="C112" s="2" t="s">
        <v>268</v>
      </c>
    </row>
    <row r="114" spans="1:3" s="7" customFormat="1" ht="15.75" x14ac:dyDescent="0.3">
      <c r="A114" s="5" t="s">
        <v>269</v>
      </c>
      <c r="B114" s="5"/>
      <c r="C114" s="6"/>
    </row>
    <row r="115" spans="1:3" x14ac:dyDescent="0.25">
      <c r="A115" s="4" t="s">
        <v>154</v>
      </c>
      <c r="B115" s="1" t="s">
        <v>1</v>
      </c>
      <c r="C115" s="2" t="s">
        <v>270</v>
      </c>
    </row>
    <row r="116" spans="1:3" x14ac:dyDescent="0.25">
      <c r="A116" s="4" t="s">
        <v>152</v>
      </c>
      <c r="B116" s="1" t="s">
        <v>1</v>
      </c>
      <c r="C116" s="2">
        <v>0</v>
      </c>
    </row>
    <row r="117" spans="1:3" x14ac:dyDescent="0.25">
      <c r="A117" s="4" t="s">
        <v>151</v>
      </c>
      <c r="B117" s="1" t="s">
        <v>1</v>
      </c>
      <c r="C117" s="2">
        <v>2</v>
      </c>
    </row>
    <row r="118" spans="1:3" x14ac:dyDescent="0.25">
      <c r="A118" s="4" t="s">
        <v>150</v>
      </c>
      <c r="B118" s="1" t="s">
        <v>1</v>
      </c>
      <c r="C118" s="2" t="s">
        <v>902</v>
      </c>
    </row>
    <row r="119" spans="1:3" x14ac:dyDescent="0.25">
      <c r="A119" s="4" t="s">
        <v>149</v>
      </c>
      <c r="B119" s="1" t="s">
        <v>1</v>
      </c>
      <c r="C119" s="2" t="s">
        <v>899</v>
      </c>
    </row>
    <row r="120" spans="1:3" x14ac:dyDescent="0.25">
      <c r="A120" s="4" t="s">
        <v>120</v>
      </c>
      <c r="B120" s="1" t="s">
        <v>1</v>
      </c>
      <c r="C120" s="2" t="s">
        <v>262</v>
      </c>
    </row>
    <row r="121" spans="1:3" x14ac:dyDescent="0.25">
      <c r="A121" s="4" t="s">
        <v>119</v>
      </c>
      <c r="B121" s="1" t="s">
        <v>1</v>
      </c>
      <c r="C121" s="2" t="s">
        <v>843</v>
      </c>
    </row>
    <row r="123" spans="1:3" s="7" customFormat="1" ht="15.75" x14ac:dyDescent="0.3">
      <c r="A123" s="5" t="s">
        <v>271</v>
      </c>
      <c r="B123" s="5"/>
      <c r="C123" s="6"/>
    </row>
    <row r="124" spans="1:3" x14ac:dyDescent="0.25">
      <c r="A124" s="4" t="s">
        <v>264</v>
      </c>
      <c r="B124" s="1" t="s">
        <v>1</v>
      </c>
      <c r="C124" s="2" t="s">
        <v>272</v>
      </c>
    </row>
    <row r="125" spans="1:3" x14ac:dyDescent="0.25">
      <c r="A125" s="4" t="s">
        <v>154</v>
      </c>
      <c r="B125" s="1" t="s">
        <v>1</v>
      </c>
      <c r="C125" s="2" t="s">
        <v>192</v>
      </c>
    </row>
    <row r="126" spans="1:3" x14ac:dyDescent="0.25">
      <c r="A126" s="4" t="s">
        <v>152</v>
      </c>
      <c r="B126" s="1" t="s">
        <v>1</v>
      </c>
      <c r="C126" s="2">
        <v>0</v>
      </c>
    </row>
    <row r="127" spans="1:3" x14ac:dyDescent="0.25">
      <c r="A127" s="4" t="s">
        <v>151</v>
      </c>
      <c r="B127" s="1" t="s">
        <v>1</v>
      </c>
      <c r="C127" s="2">
        <v>1</v>
      </c>
    </row>
    <row r="128" spans="1:3" x14ac:dyDescent="0.25">
      <c r="A128" s="4" t="s">
        <v>150</v>
      </c>
      <c r="B128" s="1" t="s">
        <v>1</v>
      </c>
      <c r="C128" s="2" t="s">
        <v>273</v>
      </c>
    </row>
    <row r="129" spans="1:3" x14ac:dyDescent="0.25">
      <c r="A129" s="4" t="s">
        <v>120</v>
      </c>
      <c r="B129" s="1" t="s">
        <v>1</v>
      </c>
      <c r="C129" s="2" t="s">
        <v>265</v>
      </c>
    </row>
    <row r="131" spans="1:3" s="7" customFormat="1" ht="15.75" x14ac:dyDescent="0.3">
      <c r="A131" s="5" t="s">
        <v>274</v>
      </c>
      <c r="B131" s="5"/>
      <c r="C131" s="6"/>
    </row>
    <row r="132" spans="1:3" x14ac:dyDescent="0.25">
      <c r="A132" s="4" t="s">
        <v>154</v>
      </c>
      <c r="B132" s="1" t="s">
        <v>1</v>
      </c>
      <c r="C132" s="2" t="s">
        <v>192</v>
      </c>
    </row>
    <row r="133" spans="1:3" x14ac:dyDescent="0.25">
      <c r="A133" s="4" t="s">
        <v>152</v>
      </c>
      <c r="B133" s="1" t="s">
        <v>1</v>
      </c>
      <c r="C133" s="2">
        <v>0</v>
      </c>
    </row>
    <row r="134" spans="1:3" x14ac:dyDescent="0.25">
      <c r="A134" s="4" t="s">
        <v>151</v>
      </c>
      <c r="B134" s="1" t="s">
        <v>1</v>
      </c>
      <c r="C134" s="2">
        <v>2</v>
      </c>
    </row>
    <row r="135" spans="1:3" x14ac:dyDescent="0.25">
      <c r="A135" s="4" t="s">
        <v>150</v>
      </c>
      <c r="B135" s="1" t="s">
        <v>1</v>
      </c>
      <c r="C135" s="2" t="s">
        <v>904</v>
      </c>
    </row>
    <row r="136" spans="1:3" x14ac:dyDescent="0.25">
      <c r="A136" s="4" t="s">
        <v>149</v>
      </c>
      <c r="B136" s="1" t="s">
        <v>1</v>
      </c>
      <c r="C136" s="2" t="s">
        <v>895</v>
      </c>
    </row>
    <row r="137" spans="1:3" x14ac:dyDescent="0.25">
      <c r="A137" s="4" t="s">
        <v>120</v>
      </c>
      <c r="B137" s="1" t="s">
        <v>1</v>
      </c>
      <c r="C137" s="2" t="s">
        <v>267</v>
      </c>
    </row>
    <row r="138" spans="1:3" x14ac:dyDescent="0.25">
      <c r="A138" s="4" t="s">
        <v>119</v>
      </c>
      <c r="B138" s="1" t="s">
        <v>1</v>
      </c>
      <c r="C138" s="2" t="s">
        <v>268</v>
      </c>
    </row>
    <row r="140" spans="1:3" s="7" customFormat="1" ht="15.75" x14ac:dyDescent="0.3">
      <c r="A140" s="5" t="s">
        <v>275</v>
      </c>
      <c r="B140" s="5"/>
      <c r="C140" s="6"/>
    </row>
    <row r="141" spans="1:3" x14ac:dyDescent="0.25">
      <c r="A141" s="4" t="s">
        <v>154</v>
      </c>
      <c r="B141" s="1" t="s">
        <v>1</v>
      </c>
      <c r="C141" s="2" t="s">
        <v>276</v>
      </c>
    </row>
    <row r="142" spans="1:3" x14ac:dyDescent="0.25">
      <c r="A142" s="4" t="s">
        <v>152</v>
      </c>
      <c r="B142" s="1" t="s">
        <v>1</v>
      </c>
      <c r="C142" s="2">
        <v>0</v>
      </c>
    </row>
    <row r="143" spans="1:3" x14ac:dyDescent="0.25">
      <c r="A143" s="4" t="s">
        <v>151</v>
      </c>
      <c r="B143" s="1" t="s">
        <v>1</v>
      </c>
      <c r="C143" s="2">
        <v>3</v>
      </c>
    </row>
    <row r="144" spans="1:3" x14ac:dyDescent="0.25">
      <c r="A144" s="4" t="s">
        <v>150</v>
      </c>
      <c r="B144" s="1" t="s">
        <v>1</v>
      </c>
      <c r="C144" s="2" t="s">
        <v>902</v>
      </c>
    </row>
    <row r="145" spans="1:3" x14ac:dyDescent="0.25">
      <c r="A145" s="4" t="s">
        <v>149</v>
      </c>
      <c r="B145" s="1" t="s">
        <v>1</v>
      </c>
      <c r="C145" s="2" t="s">
        <v>905</v>
      </c>
    </row>
    <row r="146" spans="1:3" x14ac:dyDescent="0.25">
      <c r="A146" s="4" t="s">
        <v>148</v>
      </c>
      <c r="B146" s="1" t="s">
        <v>1</v>
      </c>
      <c r="C146" s="2" t="s">
        <v>896</v>
      </c>
    </row>
    <row r="147" spans="1:3" x14ac:dyDescent="0.25">
      <c r="A147" s="4" t="s">
        <v>120</v>
      </c>
      <c r="B147" s="1" t="s">
        <v>1</v>
      </c>
      <c r="C147" s="2" t="s">
        <v>262</v>
      </c>
    </row>
    <row r="148" spans="1:3" x14ac:dyDescent="0.25">
      <c r="A148" s="4" t="s">
        <v>119</v>
      </c>
      <c r="B148" s="1" t="s">
        <v>1</v>
      </c>
      <c r="C148" s="2" t="s">
        <v>277</v>
      </c>
    </row>
    <row r="149" spans="1:3" x14ac:dyDescent="0.25">
      <c r="A149" s="4" t="s">
        <v>118</v>
      </c>
      <c r="B149" s="1" t="s">
        <v>1</v>
      </c>
      <c r="C149" s="2" t="s">
        <v>839</v>
      </c>
    </row>
    <row r="151" spans="1:3" s="7" customFormat="1" ht="15.75" x14ac:dyDescent="0.3">
      <c r="A151" s="5" t="s">
        <v>278</v>
      </c>
      <c r="B151" s="5"/>
      <c r="C151" s="6"/>
    </row>
    <row r="152" spans="1:3" x14ac:dyDescent="0.25">
      <c r="A152" s="4" t="s">
        <v>264</v>
      </c>
      <c r="B152" s="1" t="s">
        <v>1</v>
      </c>
      <c r="C152" s="2" t="s">
        <v>77</v>
      </c>
    </row>
    <row r="153" spans="1:3" x14ac:dyDescent="0.25">
      <c r="A153" s="4" t="s">
        <v>154</v>
      </c>
      <c r="B153" s="1" t="s">
        <v>1</v>
      </c>
      <c r="C153" s="2" t="s">
        <v>192</v>
      </c>
    </row>
    <row r="154" spans="1:3" x14ac:dyDescent="0.25">
      <c r="A154" s="4" t="s">
        <v>152</v>
      </c>
      <c r="B154" s="1" t="s">
        <v>1</v>
      </c>
      <c r="C154" s="2">
        <v>0</v>
      </c>
    </row>
    <row r="155" spans="1:3" x14ac:dyDescent="0.25">
      <c r="A155" s="4" t="s">
        <v>151</v>
      </c>
      <c r="B155" s="1" t="s">
        <v>1</v>
      </c>
      <c r="C155" s="2">
        <v>1</v>
      </c>
    </row>
    <row r="156" spans="1:3" x14ac:dyDescent="0.25">
      <c r="A156" s="4" t="s">
        <v>150</v>
      </c>
      <c r="B156" s="1" t="s">
        <v>1</v>
      </c>
      <c r="C156" s="2" t="s">
        <v>279</v>
      </c>
    </row>
    <row r="157" spans="1:3" x14ac:dyDescent="0.25">
      <c r="A157" s="4" t="s">
        <v>120</v>
      </c>
      <c r="B157" s="1" t="s">
        <v>1</v>
      </c>
      <c r="C157" s="2" t="s">
        <v>280</v>
      </c>
    </row>
    <row r="159" spans="1:3" s="7" customFormat="1" ht="15.75" x14ac:dyDescent="0.3">
      <c r="A159" s="5" t="s">
        <v>281</v>
      </c>
      <c r="B159" s="5"/>
      <c r="C159" s="6"/>
    </row>
    <row r="160" spans="1:3" x14ac:dyDescent="0.25">
      <c r="A160" s="4" t="s">
        <v>154</v>
      </c>
      <c r="B160" s="1" t="s">
        <v>1</v>
      </c>
      <c r="C160" s="2" t="s">
        <v>192</v>
      </c>
    </row>
    <row r="161" spans="1:3" x14ac:dyDescent="0.25">
      <c r="A161" s="4" t="s">
        <v>152</v>
      </c>
      <c r="B161" s="1" t="s">
        <v>1</v>
      </c>
      <c r="C161" s="2">
        <v>0</v>
      </c>
    </row>
    <row r="162" spans="1:3" x14ac:dyDescent="0.25">
      <c r="A162" s="4" t="s">
        <v>151</v>
      </c>
      <c r="B162" s="1" t="s">
        <v>1</v>
      </c>
      <c r="C162" s="2">
        <v>3</v>
      </c>
    </row>
    <row r="163" spans="1:3" x14ac:dyDescent="0.25">
      <c r="A163" s="4" t="s">
        <v>150</v>
      </c>
      <c r="B163" s="1" t="s">
        <v>1</v>
      </c>
      <c r="C163" s="2" t="s">
        <v>282</v>
      </c>
    </row>
    <row r="164" spans="1:3" x14ac:dyDescent="0.25">
      <c r="A164" s="4" t="s">
        <v>149</v>
      </c>
      <c r="B164" s="1" t="s">
        <v>1</v>
      </c>
      <c r="C164" s="2" t="s">
        <v>906</v>
      </c>
    </row>
    <row r="165" spans="1:3" x14ac:dyDescent="0.25">
      <c r="A165" s="4" t="s">
        <v>148</v>
      </c>
      <c r="B165" s="1" t="s">
        <v>1</v>
      </c>
      <c r="C165" s="2" t="s">
        <v>895</v>
      </c>
    </row>
    <row r="166" spans="1:3" x14ac:dyDescent="0.25">
      <c r="A166" s="4" t="s">
        <v>120</v>
      </c>
      <c r="B166" s="1" t="s">
        <v>1</v>
      </c>
      <c r="C166" s="2" t="s">
        <v>283</v>
      </c>
    </row>
    <row r="167" spans="1:3" x14ac:dyDescent="0.25">
      <c r="A167" s="4" t="s">
        <v>119</v>
      </c>
      <c r="B167" s="1" t="s">
        <v>1</v>
      </c>
      <c r="C167" s="2" t="s">
        <v>284</v>
      </c>
    </row>
    <row r="168" spans="1:3" x14ac:dyDescent="0.25">
      <c r="A168" s="4" t="s">
        <v>118</v>
      </c>
      <c r="B168" s="1" t="s">
        <v>1</v>
      </c>
      <c r="C168" s="2" t="s">
        <v>268</v>
      </c>
    </row>
    <row r="170" spans="1:3" s="7" customFormat="1" ht="15.75" x14ac:dyDescent="0.3">
      <c r="A170" s="5" t="s">
        <v>285</v>
      </c>
      <c r="B170" s="5"/>
      <c r="C170" s="6"/>
    </row>
    <row r="171" spans="1:3" x14ac:dyDescent="0.25">
      <c r="A171" s="4" t="s">
        <v>154</v>
      </c>
      <c r="B171" s="1" t="s">
        <v>1</v>
      </c>
      <c r="C171" s="2" t="s">
        <v>286</v>
      </c>
    </row>
    <row r="172" spans="1:3" x14ac:dyDescent="0.25">
      <c r="A172" s="4" t="s">
        <v>152</v>
      </c>
      <c r="B172" s="1" t="s">
        <v>1</v>
      </c>
      <c r="C172" s="2">
        <v>0</v>
      </c>
    </row>
    <row r="173" spans="1:3" x14ac:dyDescent="0.25">
      <c r="A173" s="4" t="s">
        <v>151</v>
      </c>
      <c r="B173" s="1" t="s">
        <v>1</v>
      </c>
      <c r="C173" s="2">
        <v>3</v>
      </c>
    </row>
    <row r="174" spans="1:3" x14ac:dyDescent="0.25">
      <c r="A174" s="4" t="s">
        <v>150</v>
      </c>
      <c r="B174" s="1" t="s">
        <v>1</v>
      </c>
      <c r="C174" s="2" t="s">
        <v>902</v>
      </c>
    </row>
    <row r="175" spans="1:3" x14ac:dyDescent="0.25">
      <c r="A175" s="4" t="s">
        <v>149</v>
      </c>
      <c r="B175" s="1" t="s">
        <v>1</v>
      </c>
      <c r="C175" s="2" t="s">
        <v>903</v>
      </c>
    </row>
    <row r="176" spans="1:3" x14ac:dyDescent="0.25">
      <c r="A176" s="4" t="s">
        <v>148</v>
      </c>
      <c r="B176" s="1" t="s">
        <v>1</v>
      </c>
      <c r="C176" s="2" t="s">
        <v>899</v>
      </c>
    </row>
    <row r="177" spans="1:3" x14ac:dyDescent="0.25">
      <c r="A177" s="4" t="s">
        <v>120</v>
      </c>
      <c r="B177" s="1" t="s">
        <v>1</v>
      </c>
      <c r="C177" s="2" t="s">
        <v>262</v>
      </c>
    </row>
    <row r="178" spans="1:3" x14ac:dyDescent="0.25">
      <c r="A178" s="4" t="s">
        <v>119</v>
      </c>
      <c r="B178" s="1" t="s">
        <v>1</v>
      </c>
      <c r="C178" s="2" t="s">
        <v>287</v>
      </c>
    </row>
    <row r="179" spans="1:3" x14ac:dyDescent="0.25">
      <c r="A179" s="4" t="s">
        <v>118</v>
      </c>
      <c r="B179" s="1" t="s">
        <v>1</v>
      </c>
      <c r="C179" s="2" t="s">
        <v>844</v>
      </c>
    </row>
    <row r="181" spans="1:3" s="7" customFormat="1" ht="15.75" x14ac:dyDescent="0.3">
      <c r="A181" s="5" t="s">
        <v>288</v>
      </c>
      <c r="B181" s="5"/>
      <c r="C181" s="6"/>
    </row>
    <row r="182" spans="1:3" x14ac:dyDescent="0.25">
      <c r="A182" s="4" t="s">
        <v>264</v>
      </c>
      <c r="B182" s="1" t="s">
        <v>1</v>
      </c>
      <c r="C182" s="2" t="s">
        <v>272</v>
      </c>
    </row>
    <row r="183" spans="1:3" x14ac:dyDescent="0.25">
      <c r="A183" s="4" t="s">
        <v>154</v>
      </c>
      <c r="B183" s="1" t="s">
        <v>1</v>
      </c>
      <c r="C183" s="2" t="s">
        <v>192</v>
      </c>
    </row>
    <row r="184" spans="1:3" x14ac:dyDescent="0.25">
      <c r="A184" s="4" t="s">
        <v>152</v>
      </c>
      <c r="B184" s="1" t="s">
        <v>1</v>
      </c>
      <c r="C184" s="2">
        <v>0</v>
      </c>
    </row>
    <row r="185" spans="1:3" x14ac:dyDescent="0.25">
      <c r="A185" s="4" t="s">
        <v>151</v>
      </c>
      <c r="B185" s="1" t="s">
        <v>1</v>
      </c>
      <c r="C185" s="2">
        <v>1</v>
      </c>
    </row>
    <row r="186" spans="1:3" x14ac:dyDescent="0.25">
      <c r="A186" s="4" t="s">
        <v>150</v>
      </c>
      <c r="B186" s="1" t="s">
        <v>1</v>
      </c>
      <c r="C186" s="2" t="s">
        <v>289</v>
      </c>
    </row>
    <row r="187" spans="1:3" x14ac:dyDescent="0.25">
      <c r="A187" s="4" t="s">
        <v>120</v>
      </c>
      <c r="B187" s="1" t="s">
        <v>1</v>
      </c>
      <c r="C187" s="2" t="s">
        <v>290</v>
      </c>
    </row>
    <row r="189" spans="1:3" s="7" customFormat="1" ht="15.75" x14ac:dyDescent="0.3">
      <c r="A189" s="5" t="s">
        <v>291</v>
      </c>
      <c r="B189" s="5"/>
      <c r="C189" s="6"/>
    </row>
    <row r="190" spans="1:3" x14ac:dyDescent="0.25">
      <c r="A190" s="4" t="s">
        <v>154</v>
      </c>
      <c r="B190" s="1" t="s">
        <v>1</v>
      </c>
      <c r="C190" s="2" t="s">
        <v>192</v>
      </c>
    </row>
    <row r="191" spans="1:3" x14ac:dyDescent="0.25">
      <c r="A191" s="4" t="s">
        <v>152</v>
      </c>
      <c r="B191" s="1" t="s">
        <v>1</v>
      </c>
      <c r="C191" s="2">
        <v>0</v>
      </c>
    </row>
    <row r="192" spans="1:3" x14ac:dyDescent="0.25">
      <c r="A192" s="4" t="s">
        <v>151</v>
      </c>
      <c r="B192" s="1" t="s">
        <v>1</v>
      </c>
      <c r="C192" s="2">
        <v>3</v>
      </c>
    </row>
    <row r="193" spans="1:3" x14ac:dyDescent="0.25">
      <c r="A193" s="4" t="s">
        <v>150</v>
      </c>
      <c r="B193" s="1" t="s">
        <v>1</v>
      </c>
      <c r="C193" s="2" t="s">
        <v>900</v>
      </c>
    </row>
    <row r="194" spans="1:3" x14ac:dyDescent="0.25">
      <c r="A194" s="4" t="s">
        <v>149</v>
      </c>
      <c r="B194" s="1" t="s">
        <v>1</v>
      </c>
      <c r="C194" s="2" t="s">
        <v>901</v>
      </c>
    </row>
    <row r="195" spans="1:3" x14ac:dyDescent="0.25">
      <c r="A195" s="4" t="s">
        <v>148</v>
      </c>
      <c r="B195" s="1" t="s">
        <v>1</v>
      </c>
      <c r="C195" s="2" t="s">
        <v>895</v>
      </c>
    </row>
    <row r="196" spans="1:3" x14ac:dyDescent="0.25">
      <c r="A196" s="4" t="s">
        <v>120</v>
      </c>
      <c r="B196" s="1" t="s">
        <v>1</v>
      </c>
      <c r="C196" s="2" t="s">
        <v>292</v>
      </c>
    </row>
    <row r="197" spans="1:3" x14ac:dyDescent="0.25">
      <c r="A197" s="4" t="s">
        <v>119</v>
      </c>
      <c r="B197" s="1" t="s">
        <v>1</v>
      </c>
      <c r="C197" s="2" t="s">
        <v>293</v>
      </c>
    </row>
    <row r="198" spans="1:3" x14ac:dyDescent="0.25">
      <c r="A198" s="4" t="s">
        <v>118</v>
      </c>
      <c r="B198" s="1" t="s">
        <v>1</v>
      </c>
      <c r="C198" s="2" t="s">
        <v>268</v>
      </c>
    </row>
    <row r="200" spans="1:3" s="7" customFormat="1" ht="15.75" x14ac:dyDescent="0.3">
      <c r="A200" s="5" t="s">
        <v>294</v>
      </c>
      <c r="B200" s="5"/>
      <c r="C200" s="6"/>
    </row>
    <row r="201" spans="1:3" x14ac:dyDescent="0.25">
      <c r="A201" s="4" t="s">
        <v>154</v>
      </c>
      <c r="B201" s="1" t="s">
        <v>1</v>
      </c>
      <c r="C201" s="2" t="s">
        <v>295</v>
      </c>
    </row>
    <row r="202" spans="1:3" x14ac:dyDescent="0.25">
      <c r="A202" s="4" t="s">
        <v>152</v>
      </c>
      <c r="B202" s="1" t="s">
        <v>1</v>
      </c>
      <c r="C202" s="2">
        <v>0</v>
      </c>
    </row>
    <row r="203" spans="1:3" x14ac:dyDescent="0.25">
      <c r="A203" s="4" t="s">
        <v>151</v>
      </c>
      <c r="B203" s="1" t="s">
        <v>1</v>
      </c>
      <c r="C203" s="2">
        <v>0</v>
      </c>
    </row>
    <row r="204" spans="1:3" x14ac:dyDescent="0.25">
      <c r="A204" s="4" t="s">
        <v>150</v>
      </c>
      <c r="B204" s="1" t="s">
        <v>1</v>
      </c>
      <c r="C204" s="2" t="s">
        <v>192</v>
      </c>
    </row>
    <row r="205" spans="1:3" x14ac:dyDescent="0.25">
      <c r="A205" s="4" t="s">
        <v>120</v>
      </c>
      <c r="B205" s="1" t="s">
        <v>1</v>
      </c>
      <c r="C205" s="2" t="s">
        <v>296</v>
      </c>
    </row>
    <row r="207" spans="1:3" s="7" customFormat="1" ht="15.75" x14ac:dyDescent="0.3">
      <c r="A207" s="5" t="s">
        <v>297</v>
      </c>
      <c r="B207" s="5"/>
      <c r="C207" s="6"/>
    </row>
    <row r="208" spans="1:3" x14ac:dyDescent="0.25">
      <c r="A208" s="4" t="s">
        <v>154</v>
      </c>
      <c r="B208" s="1" t="s">
        <v>1</v>
      </c>
      <c r="C208" s="2" t="s">
        <v>298</v>
      </c>
    </row>
    <row r="209" spans="1:3" x14ac:dyDescent="0.25">
      <c r="A209" s="4" t="s">
        <v>152</v>
      </c>
      <c r="B209" s="1" t="s">
        <v>1</v>
      </c>
      <c r="C209" s="2">
        <v>0</v>
      </c>
    </row>
    <row r="210" spans="1:3" x14ac:dyDescent="0.25">
      <c r="A210" s="4" t="s">
        <v>151</v>
      </c>
      <c r="B210" s="1" t="s">
        <v>1</v>
      </c>
      <c r="C210" s="2">
        <v>0</v>
      </c>
    </row>
    <row r="211" spans="1:3" x14ac:dyDescent="0.25">
      <c r="A211" s="4" t="s">
        <v>150</v>
      </c>
      <c r="B211" s="1" t="s">
        <v>1</v>
      </c>
      <c r="C211" s="2" t="s">
        <v>192</v>
      </c>
    </row>
    <row r="212" spans="1:3" x14ac:dyDescent="0.25">
      <c r="A212" s="4" t="s">
        <v>120</v>
      </c>
      <c r="B212" s="1" t="s">
        <v>1</v>
      </c>
      <c r="C212" s="2" t="s">
        <v>296</v>
      </c>
    </row>
    <row r="214" spans="1:3" s="7" customFormat="1" ht="15.75" x14ac:dyDescent="0.3">
      <c r="A214" s="5" t="s">
        <v>299</v>
      </c>
      <c r="B214" s="5"/>
      <c r="C214" s="6"/>
    </row>
    <row r="215" spans="1:3" x14ac:dyDescent="0.25">
      <c r="A215" s="4" t="s">
        <v>154</v>
      </c>
      <c r="B215" s="1" t="s">
        <v>1</v>
      </c>
      <c r="C215" s="2" t="s">
        <v>192</v>
      </c>
    </row>
    <row r="216" spans="1:3" x14ac:dyDescent="0.25">
      <c r="A216" s="4" t="s">
        <v>152</v>
      </c>
      <c r="B216" s="1" t="s">
        <v>1</v>
      </c>
      <c r="C216" s="2">
        <v>1</v>
      </c>
    </row>
    <row r="217" spans="1:3" x14ac:dyDescent="0.25">
      <c r="A217" s="4" t="s">
        <v>151</v>
      </c>
      <c r="B217" s="1" t="s">
        <v>1</v>
      </c>
      <c r="C217" s="2">
        <v>1</v>
      </c>
    </row>
    <row r="218" spans="1:3" x14ac:dyDescent="0.25">
      <c r="A218" s="4" t="s">
        <v>150</v>
      </c>
      <c r="B218" s="1" t="s">
        <v>1</v>
      </c>
      <c r="C218" s="2" t="s">
        <v>300</v>
      </c>
    </row>
    <row r="219" spans="1:3" x14ac:dyDescent="0.25">
      <c r="A219" s="4" t="s">
        <v>120</v>
      </c>
      <c r="B219" s="1" t="s">
        <v>1</v>
      </c>
      <c r="C219" s="2" t="s">
        <v>301</v>
      </c>
    </row>
    <row r="221" spans="1:3" s="7" customFormat="1" ht="15.75" x14ac:dyDescent="0.3">
      <c r="A221" s="5" t="s">
        <v>302</v>
      </c>
      <c r="B221" s="5"/>
      <c r="C221" s="6"/>
    </row>
    <row r="222" spans="1:3" x14ac:dyDescent="0.25">
      <c r="A222" s="4" t="s">
        <v>303</v>
      </c>
      <c r="B222" s="1" t="s">
        <v>1</v>
      </c>
      <c r="C222" s="2" t="s">
        <v>79</v>
      </c>
    </row>
    <row r="223" spans="1:3" x14ac:dyDescent="0.25">
      <c r="A223" s="4" t="s">
        <v>154</v>
      </c>
      <c r="B223" s="1" t="s">
        <v>1</v>
      </c>
      <c r="C223" s="2" t="s">
        <v>192</v>
      </c>
    </row>
    <row r="224" spans="1:3" x14ac:dyDescent="0.25">
      <c r="A224" s="4" t="s">
        <v>152</v>
      </c>
      <c r="B224" s="1" t="s">
        <v>1</v>
      </c>
      <c r="C224" s="2">
        <v>4</v>
      </c>
    </row>
    <row r="225" spans="1:3" x14ac:dyDescent="0.25">
      <c r="A225" s="4" t="s">
        <v>151</v>
      </c>
      <c r="B225" s="1" t="s">
        <v>1</v>
      </c>
      <c r="C225" s="2">
        <v>4</v>
      </c>
    </row>
    <row r="226" spans="1:3" x14ac:dyDescent="0.25">
      <c r="A226" s="4" t="s">
        <v>150</v>
      </c>
      <c r="B226" s="1" t="s">
        <v>1</v>
      </c>
      <c r="C226" s="2" t="s">
        <v>304</v>
      </c>
    </row>
    <row r="227" spans="1:3" x14ac:dyDescent="0.25">
      <c r="A227" s="4" t="s">
        <v>120</v>
      </c>
      <c r="B227" s="1" t="s">
        <v>1</v>
      </c>
      <c r="C227" s="2" t="s">
        <v>305</v>
      </c>
    </row>
    <row r="228" spans="1:3" x14ac:dyDescent="0.25">
      <c r="A228" s="4" t="s">
        <v>119</v>
      </c>
      <c r="B228" s="1" t="s">
        <v>1</v>
      </c>
      <c r="C228" s="2" t="s">
        <v>306</v>
      </c>
    </row>
    <row r="229" spans="1:3" x14ac:dyDescent="0.25">
      <c r="A229" s="4" t="s">
        <v>118</v>
      </c>
      <c r="B229" s="1" t="s">
        <v>1</v>
      </c>
      <c r="C229" s="2" t="s">
        <v>307</v>
      </c>
    </row>
    <row r="230" spans="1:3" x14ac:dyDescent="0.25">
      <c r="A230" s="4" t="s">
        <v>117</v>
      </c>
      <c r="B230" s="1" t="s">
        <v>1</v>
      </c>
      <c r="C230" s="2" t="s">
        <v>308</v>
      </c>
    </row>
    <row r="232" spans="1:3" s="7" customFormat="1" ht="15.75" x14ac:dyDescent="0.3">
      <c r="A232" s="5" t="s">
        <v>309</v>
      </c>
      <c r="B232" s="5"/>
      <c r="C232" s="6"/>
    </row>
    <row r="233" spans="1:3" x14ac:dyDescent="0.25">
      <c r="A233" s="4" t="s">
        <v>154</v>
      </c>
      <c r="B233" s="1" t="s">
        <v>1</v>
      </c>
      <c r="C233" s="2" t="s">
        <v>192</v>
      </c>
    </row>
    <row r="234" spans="1:3" x14ac:dyDescent="0.25">
      <c r="A234" s="4" t="s">
        <v>152</v>
      </c>
      <c r="B234" s="1" t="s">
        <v>1</v>
      </c>
      <c r="C234" s="2">
        <v>1</v>
      </c>
    </row>
    <row r="235" spans="1:3" x14ac:dyDescent="0.25">
      <c r="A235" s="4" t="s">
        <v>151</v>
      </c>
      <c r="B235" s="1" t="s">
        <v>1</v>
      </c>
      <c r="C235" s="2">
        <v>1</v>
      </c>
    </row>
    <row r="236" spans="1:3" x14ac:dyDescent="0.25">
      <c r="A236" s="4" t="s">
        <v>150</v>
      </c>
      <c r="B236" s="1" t="s">
        <v>1</v>
      </c>
      <c r="C236" s="2" t="s">
        <v>310</v>
      </c>
    </row>
    <row r="237" spans="1:3" x14ac:dyDescent="0.25">
      <c r="A237" s="4" t="s">
        <v>120</v>
      </c>
      <c r="B237" s="1" t="s">
        <v>1</v>
      </c>
      <c r="C237" s="2" t="s">
        <v>311</v>
      </c>
    </row>
    <row r="239" spans="1:3" s="7" customFormat="1" ht="15.75" x14ac:dyDescent="0.3">
      <c r="A239" s="5" t="s">
        <v>312</v>
      </c>
      <c r="B239" s="5"/>
      <c r="C239" s="6"/>
    </row>
    <row r="240" spans="1:3" x14ac:dyDescent="0.25">
      <c r="A240" s="4" t="s">
        <v>154</v>
      </c>
      <c r="B240" s="1" t="s">
        <v>1</v>
      </c>
      <c r="C240" s="2" t="s">
        <v>192</v>
      </c>
    </row>
    <row r="241" spans="1:3" x14ac:dyDescent="0.25">
      <c r="A241" s="4" t="s">
        <v>152</v>
      </c>
      <c r="B241" s="1" t="s">
        <v>1</v>
      </c>
      <c r="C241" s="2">
        <v>3</v>
      </c>
    </row>
    <row r="242" spans="1:3" x14ac:dyDescent="0.25">
      <c r="A242" s="4" t="s">
        <v>151</v>
      </c>
      <c r="B242" s="1" t="s">
        <v>1</v>
      </c>
      <c r="C242" s="2">
        <v>3</v>
      </c>
    </row>
    <row r="243" spans="1:3" x14ac:dyDescent="0.25">
      <c r="A243" s="4" t="s">
        <v>150</v>
      </c>
      <c r="B243" s="1" t="s">
        <v>1</v>
      </c>
      <c r="C243" s="2" t="s">
        <v>313</v>
      </c>
    </row>
    <row r="244" spans="1:3" x14ac:dyDescent="0.25">
      <c r="A244" s="4" t="s">
        <v>120</v>
      </c>
      <c r="B244" s="1" t="s">
        <v>1</v>
      </c>
      <c r="C244" s="2" t="s">
        <v>314</v>
      </c>
    </row>
    <row r="245" spans="1:3" x14ac:dyDescent="0.25">
      <c r="A245" s="4" t="s">
        <v>119</v>
      </c>
      <c r="B245" s="1" t="s">
        <v>1</v>
      </c>
      <c r="C245" s="2" t="s">
        <v>315</v>
      </c>
    </row>
    <row r="246" spans="1:3" x14ac:dyDescent="0.25">
      <c r="A246" s="4" t="s">
        <v>118</v>
      </c>
      <c r="B246" s="1" t="s">
        <v>1</v>
      </c>
      <c r="C246" s="2" t="s">
        <v>316</v>
      </c>
    </row>
    <row r="248" spans="1:3" s="7" customFormat="1" ht="15.75" x14ac:dyDescent="0.3">
      <c r="A248" s="5" t="s">
        <v>317</v>
      </c>
      <c r="B248" s="5"/>
      <c r="C248" s="6"/>
    </row>
    <row r="249" spans="1:3" x14ac:dyDescent="0.25">
      <c r="A249" s="4" t="s">
        <v>154</v>
      </c>
      <c r="B249" s="1" t="s">
        <v>1</v>
      </c>
      <c r="C249" s="2" t="s">
        <v>192</v>
      </c>
    </row>
    <row r="250" spans="1:3" x14ac:dyDescent="0.25">
      <c r="A250" s="4" t="s">
        <v>152</v>
      </c>
      <c r="B250" s="1" t="s">
        <v>1</v>
      </c>
      <c r="C250" s="2">
        <v>3</v>
      </c>
    </row>
    <row r="251" spans="1:3" x14ac:dyDescent="0.25">
      <c r="A251" s="4" t="s">
        <v>151</v>
      </c>
      <c r="B251" s="1" t="s">
        <v>1</v>
      </c>
      <c r="C251" s="2">
        <v>3</v>
      </c>
    </row>
    <row r="252" spans="1:3" x14ac:dyDescent="0.25">
      <c r="A252" s="4" t="s">
        <v>150</v>
      </c>
      <c r="B252" s="1" t="s">
        <v>1</v>
      </c>
      <c r="C252" s="2" t="s">
        <v>318</v>
      </c>
    </row>
    <row r="253" spans="1:3" x14ac:dyDescent="0.25">
      <c r="A253" s="4" t="s">
        <v>120</v>
      </c>
      <c r="B253" s="1" t="s">
        <v>1</v>
      </c>
      <c r="C253" s="2" t="s">
        <v>319</v>
      </c>
    </row>
    <row r="254" spans="1:3" x14ac:dyDescent="0.25">
      <c r="A254" s="4" t="s">
        <v>119</v>
      </c>
      <c r="B254" s="1" t="s">
        <v>1</v>
      </c>
      <c r="C254" s="2" t="s">
        <v>320</v>
      </c>
    </row>
    <row r="255" spans="1:3" x14ac:dyDescent="0.25">
      <c r="A255" s="4" t="s">
        <v>118</v>
      </c>
      <c r="B255" s="1" t="s">
        <v>1</v>
      </c>
      <c r="C255" s="2" t="s">
        <v>321</v>
      </c>
    </row>
    <row r="257" spans="1:3" s="7" customFormat="1" ht="15.75" x14ac:dyDescent="0.3">
      <c r="A257" s="5" t="s">
        <v>322</v>
      </c>
      <c r="B257" s="5"/>
      <c r="C257" s="6"/>
    </row>
    <row r="258" spans="1:3" x14ac:dyDescent="0.25">
      <c r="A258" s="4" t="s">
        <v>154</v>
      </c>
      <c r="B258" s="1" t="s">
        <v>1</v>
      </c>
      <c r="C258" s="2" t="s">
        <v>192</v>
      </c>
    </row>
    <row r="259" spans="1:3" x14ac:dyDescent="0.25">
      <c r="A259" s="4" t="s">
        <v>152</v>
      </c>
      <c r="B259" s="1" t="s">
        <v>1</v>
      </c>
      <c r="C259" s="2">
        <v>1</v>
      </c>
    </row>
    <row r="260" spans="1:3" x14ac:dyDescent="0.25">
      <c r="A260" s="4" t="s">
        <v>151</v>
      </c>
      <c r="B260" s="1" t="s">
        <v>1</v>
      </c>
      <c r="C260" s="2">
        <v>1</v>
      </c>
    </row>
    <row r="261" spans="1:3" x14ac:dyDescent="0.25">
      <c r="A261" s="4" t="s">
        <v>150</v>
      </c>
      <c r="B261" s="1" t="s">
        <v>1</v>
      </c>
      <c r="C261" s="2" t="s">
        <v>323</v>
      </c>
    </row>
    <row r="262" spans="1:3" x14ac:dyDescent="0.25">
      <c r="A262" s="4" t="s">
        <v>120</v>
      </c>
      <c r="B262" s="1" t="s">
        <v>1</v>
      </c>
      <c r="C262" s="2" t="s">
        <v>324</v>
      </c>
    </row>
    <row r="264" spans="1:3" s="7" customFormat="1" ht="15.75" x14ac:dyDescent="0.3">
      <c r="A264" s="5" t="s">
        <v>325</v>
      </c>
      <c r="B264" s="5"/>
      <c r="C264" s="6"/>
    </row>
    <row r="265" spans="1:3" x14ac:dyDescent="0.25">
      <c r="A265" s="4" t="s">
        <v>154</v>
      </c>
      <c r="B265" s="1" t="s">
        <v>1</v>
      </c>
      <c r="C265" s="2" t="s">
        <v>192</v>
      </c>
    </row>
    <row r="266" spans="1:3" x14ac:dyDescent="0.25">
      <c r="A266" s="4" t="s">
        <v>152</v>
      </c>
      <c r="B266" s="1" t="s">
        <v>1</v>
      </c>
      <c r="C266" s="2">
        <v>1</v>
      </c>
    </row>
    <row r="267" spans="1:3" x14ac:dyDescent="0.25">
      <c r="A267" s="4" t="s">
        <v>151</v>
      </c>
      <c r="B267" s="1" t="s">
        <v>1</v>
      </c>
      <c r="C267" s="2">
        <v>1</v>
      </c>
    </row>
    <row r="268" spans="1:3" x14ac:dyDescent="0.25">
      <c r="A268" s="4" t="s">
        <v>150</v>
      </c>
      <c r="B268" s="1" t="s">
        <v>1</v>
      </c>
      <c r="C268" s="2" t="s">
        <v>326</v>
      </c>
    </row>
    <row r="269" spans="1:3" x14ac:dyDescent="0.25">
      <c r="A269" s="4" t="s">
        <v>120</v>
      </c>
      <c r="B269" s="1" t="s">
        <v>1</v>
      </c>
      <c r="C269" s="2" t="s">
        <v>327</v>
      </c>
    </row>
    <row r="271" spans="1:3" s="7" customFormat="1" ht="15.75" x14ac:dyDescent="0.3">
      <c r="A271" s="5" t="s">
        <v>328</v>
      </c>
      <c r="B271" s="5"/>
      <c r="C271" s="6"/>
    </row>
    <row r="272" spans="1:3" x14ac:dyDescent="0.25">
      <c r="A272" s="4" t="s">
        <v>154</v>
      </c>
      <c r="B272" s="1" t="s">
        <v>1</v>
      </c>
      <c r="C272" s="2" t="s">
        <v>192</v>
      </c>
    </row>
    <row r="273" spans="1:3" x14ac:dyDescent="0.25">
      <c r="A273" s="4" t="s">
        <v>152</v>
      </c>
      <c r="B273" s="1" t="s">
        <v>1</v>
      </c>
      <c r="C273" s="2">
        <v>1</v>
      </c>
    </row>
    <row r="274" spans="1:3" x14ac:dyDescent="0.25">
      <c r="A274" s="4" t="s">
        <v>151</v>
      </c>
      <c r="B274" s="1" t="s">
        <v>1</v>
      </c>
      <c r="C274" s="2">
        <v>1</v>
      </c>
    </row>
    <row r="275" spans="1:3" x14ac:dyDescent="0.25">
      <c r="A275" s="4" t="s">
        <v>150</v>
      </c>
      <c r="B275" s="1" t="s">
        <v>1</v>
      </c>
      <c r="C275" s="2" t="s">
        <v>329</v>
      </c>
    </row>
    <row r="276" spans="1:3" x14ac:dyDescent="0.25">
      <c r="A276" s="4" t="s">
        <v>120</v>
      </c>
      <c r="B276" s="1" t="s">
        <v>1</v>
      </c>
      <c r="C276" s="2" t="s">
        <v>330</v>
      </c>
    </row>
    <row r="278" spans="1:3" s="7" customFormat="1" ht="15.75" x14ac:dyDescent="0.3">
      <c r="A278" s="5" t="s">
        <v>331</v>
      </c>
      <c r="B278" s="5"/>
      <c r="C278" s="6"/>
    </row>
    <row r="279" spans="1:3" x14ac:dyDescent="0.25">
      <c r="A279" s="4" t="s">
        <v>154</v>
      </c>
      <c r="B279" s="1" t="s">
        <v>1</v>
      </c>
      <c r="C279" s="2" t="s">
        <v>192</v>
      </c>
    </row>
    <row r="280" spans="1:3" x14ac:dyDescent="0.25">
      <c r="A280" s="4" t="s">
        <v>152</v>
      </c>
      <c r="B280" s="1" t="s">
        <v>1</v>
      </c>
      <c r="C280" s="2">
        <v>4</v>
      </c>
    </row>
    <row r="281" spans="1:3" x14ac:dyDescent="0.25">
      <c r="A281" s="4" t="s">
        <v>151</v>
      </c>
      <c r="B281" s="1" t="s">
        <v>1</v>
      </c>
      <c r="C281" s="2">
        <v>4</v>
      </c>
    </row>
    <row r="282" spans="1:3" x14ac:dyDescent="0.25">
      <c r="A282" s="4" t="s">
        <v>150</v>
      </c>
      <c r="B282" s="1" t="s">
        <v>1</v>
      </c>
      <c r="C282" s="2" t="s">
        <v>332</v>
      </c>
    </row>
    <row r="283" spans="1:3" x14ac:dyDescent="0.25">
      <c r="A283" s="4" t="s">
        <v>120</v>
      </c>
      <c r="B283" s="1" t="s">
        <v>1</v>
      </c>
      <c r="C283" s="2" t="s">
        <v>333</v>
      </c>
    </row>
    <row r="284" spans="1:3" x14ac:dyDescent="0.25">
      <c r="A284" s="4" t="s">
        <v>119</v>
      </c>
      <c r="B284" s="1" t="s">
        <v>1</v>
      </c>
      <c r="C284" s="2" t="s">
        <v>334</v>
      </c>
    </row>
    <row r="285" spans="1:3" x14ac:dyDescent="0.25">
      <c r="A285" s="4" t="s">
        <v>118</v>
      </c>
      <c r="B285" s="1" t="s">
        <v>1</v>
      </c>
      <c r="C285" s="2" t="s">
        <v>335</v>
      </c>
    </row>
    <row r="286" spans="1:3" x14ac:dyDescent="0.25">
      <c r="A286" s="4" t="s">
        <v>117</v>
      </c>
      <c r="B286" s="1" t="s">
        <v>1</v>
      </c>
      <c r="C286" s="2" t="s">
        <v>336</v>
      </c>
    </row>
    <row r="288" spans="1:3" s="7" customFormat="1" ht="15.75" x14ac:dyDescent="0.3">
      <c r="A288" s="5" t="s">
        <v>337</v>
      </c>
      <c r="B288" s="5"/>
      <c r="C288" s="6"/>
    </row>
    <row r="289" spans="1:3" x14ac:dyDescent="0.25">
      <c r="A289" s="4" t="s">
        <v>154</v>
      </c>
      <c r="B289" s="1" t="s">
        <v>1</v>
      </c>
      <c r="C289" s="2" t="s">
        <v>192</v>
      </c>
    </row>
    <row r="290" spans="1:3" x14ac:dyDescent="0.25">
      <c r="A290" s="4" t="s">
        <v>152</v>
      </c>
      <c r="B290" s="1" t="s">
        <v>1</v>
      </c>
      <c r="C290" s="2">
        <v>1</v>
      </c>
    </row>
    <row r="291" spans="1:3" x14ac:dyDescent="0.25">
      <c r="A291" s="4" t="s">
        <v>151</v>
      </c>
      <c r="B291" s="1" t="s">
        <v>1</v>
      </c>
      <c r="C291" s="2">
        <v>1</v>
      </c>
    </row>
    <row r="292" spans="1:3" x14ac:dyDescent="0.25">
      <c r="A292" s="4" t="s">
        <v>150</v>
      </c>
      <c r="B292" s="1" t="s">
        <v>1</v>
      </c>
      <c r="C292" s="2" t="s">
        <v>338</v>
      </c>
    </row>
    <row r="293" spans="1:3" x14ac:dyDescent="0.25">
      <c r="A293" s="4" t="s">
        <v>120</v>
      </c>
      <c r="B293" s="1" t="s">
        <v>1</v>
      </c>
      <c r="C293" s="2" t="s">
        <v>339</v>
      </c>
    </row>
    <row r="295" spans="1:3" s="7" customFormat="1" ht="15.75" x14ac:dyDescent="0.3">
      <c r="A295" s="5" t="s">
        <v>340</v>
      </c>
      <c r="B295" s="5"/>
      <c r="C295" s="6"/>
    </row>
    <row r="296" spans="1:3" x14ac:dyDescent="0.25">
      <c r="A296" s="4" t="s">
        <v>154</v>
      </c>
      <c r="B296" s="1" t="s">
        <v>1</v>
      </c>
      <c r="C296" s="2" t="s">
        <v>192</v>
      </c>
    </row>
    <row r="297" spans="1:3" x14ac:dyDescent="0.25">
      <c r="A297" s="4" t="s">
        <v>152</v>
      </c>
      <c r="B297" s="1" t="s">
        <v>1</v>
      </c>
      <c r="C297" s="2">
        <v>3</v>
      </c>
    </row>
    <row r="298" spans="1:3" x14ac:dyDescent="0.25">
      <c r="A298" s="4" t="s">
        <v>151</v>
      </c>
      <c r="B298" s="1" t="s">
        <v>1</v>
      </c>
      <c r="C298" s="2">
        <v>3</v>
      </c>
    </row>
    <row r="299" spans="1:3" x14ac:dyDescent="0.25">
      <c r="A299" s="4" t="s">
        <v>150</v>
      </c>
      <c r="B299" s="1" t="s">
        <v>1</v>
      </c>
      <c r="C299" s="2" t="s">
        <v>341</v>
      </c>
    </row>
    <row r="300" spans="1:3" x14ac:dyDescent="0.25">
      <c r="A300" s="4" t="s">
        <v>120</v>
      </c>
      <c r="B300" s="1" t="s">
        <v>1</v>
      </c>
      <c r="C300" s="2" t="s">
        <v>342</v>
      </c>
    </row>
    <row r="301" spans="1:3" x14ac:dyDescent="0.25">
      <c r="A301" s="4" t="s">
        <v>119</v>
      </c>
      <c r="B301" s="1" t="s">
        <v>1</v>
      </c>
      <c r="C301" s="2" t="s">
        <v>343</v>
      </c>
    </row>
    <row r="302" spans="1:3" x14ac:dyDescent="0.25">
      <c r="A302" s="4" t="s">
        <v>118</v>
      </c>
      <c r="B302" s="1" t="s">
        <v>1</v>
      </c>
      <c r="C302" s="2" t="s">
        <v>344</v>
      </c>
    </row>
    <row r="304" spans="1:3" s="7" customFormat="1" ht="15.75" x14ac:dyDescent="0.3">
      <c r="A304" s="5" t="s">
        <v>345</v>
      </c>
      <c r="B304" s="5"/>
      <c r="C304" s="6"/>
    </row>
    <row r="305" spans="1:3" x14ac:dyDescent="0.25">
      <c r="A305" s="4" t="s">
        <v>154</v>
      </c>
      <c r="B305" s="1" t="s">
        <v>1</v>
      </c>
      <c r="C305" s="2" t="s">
        <v>192</v>
      </c>
    </row>
    <row r="306" spans="1:3" x14ac:dyDescent="0.25">
      <c r="A306" s="4" t="s">
        <v>152</v>
      </c>
      <c r="B306" s="1" t="s">
        <v>1</v>
      </c>
      <c r="C306" s="2">
        <v>3</v>
      </c>
    </row>
    <row r="307" spans="1:3" x14ac:dyDescent="0.25">
      <c r="A307" s="4" t="s">
        <v>151</v>
      </c>
      <c r="B307" s="1" t="s">
        <v>1</v>
      </c>
      <c r="C307" s="2">
        <v>3</v>
      </c>
    </row>
    <row r="308" spans="1:3" x14ac:dyDescent="0.25">
      <c r="A308" s="4" t="s">
        <v>346</v>
      </c>
      <c r="B308" s="1" t="s">
        <v>1</v>
      </c>
      <c r="C308" s="2" t="s">
        <v>347</v>
      </c>
    </row>
    <row r="309" spans="1:3" x14ac:dyDescent="0.25">
      <c r="A309" s="4" t="s">
        <v>120</v>
      </c>
      <c r="B309" s="1" t="s">
        <v>1</v>
      </c>
      <c r="C309" s="2" t="s">
        <v>348</v>
      </c>
    </row>
    <row r="310" spans="1:3" x14ac:dyDescent="0.25">
      <c r="A310" s="4" t="s">
        <v>119</v>
      </c>
      <c r="B310" s="1" t="s">
        <v>1</v>
      </c>
      <c r="C310" s="2" t="s">
        <v>349</v>
      </c>
    </row>
    <row r="311" spans="1:3" x14ac:dyDescent="0.25">
      <c r="A311" s="4" t="s">
        <v>118</v>
      </c>
      <c r="B311" s="1" t="s">
        <v>1</v>
      </c>
      <c r="C311" s="2" t="s">
        <v>350</v>
      </c>
    </row>
    <row r="313" spans="1:3" s="7" customFormat="1" ht="15.75" x14ac:dyDescent="0.3">
      <c r="A313" s="5" t="s">
        <v>351</v>
      </c>
      <c r="B313" s="5"/>
      <c r="C313" s="6"/>
    </row>
    <row r="314" spans="1:3" x14ac:dyDescent="0.25">
      <c r="A314" s="4" t="s">
        <v>154</v>
      </c>
      <c r="B314" s="1" t="s">
        <v>1</v>
      </c>
      <c r="C314" s="2" t="s">
        <v>192</v>
      </c>
    </row>
    <row r="315" spans="1:3" x14ac:dyDescent="0.25">
      <c r="A315" s="4" t="s">
        <v>152</v>
      </c>
      <c r="B315" s="1" t="s">
        <v>1</v>
      </c>
      <c r="C315" s="2">
        <v>1</v>
      </c>
    </row>
    <row r="316" spans="1:3" x14ac:dyDescent="0.25">
      <c r="A316" s="4" t="s">
        <v>151</v>
      </c>
      <c r="B316" s="1" t="s">
        <v>1</v>
      </c>
      <c r="C316" s="2">
        <v>1</v>
      </c>
    </row>
    <row r="317" spans="1:3" x14ac:dyDescent="0.25">
      <c r="A317" s="4" t="s">
        <v>150</v>
      </c>
      <c r="B317" s="1" t="s">
        <v>1</v>
      </c>
      <c r="C317" s="2" t="s">
        <v>352</v>
      </c>
    </row>
    <row r="318" spans="1:3" x14ac:dyDescent="0.25">
      <c r="A318" s="4" t="s">
        <v>120</v>
      </c>
      <c r="B318" s="1" t="s">
        <v>1</v>
      </c>
      <c r="C318" s="2" t="s">
        <v>353</v>
      </c>
    </row>
    <row r="320" spans="1:3" s="7" customFormat="1" ht="15.75" x14ac:dyDescent="0.3">
      <c r="A320" s="5" t="s">
        <v>354</v>
      </c>
      <c r="B320" s="5"/>
      <c r="C320" s="6"/>
    </row>
    <row r="321" spans="1:3" x14ac:dyDescent="0.25">
      <c r="A321" s="4" t="s">
        <v>154</v>
      </c>
      <c r="B321" s="1" t="s">
        <v>1</v>
      </c>
      <c r="C321" s="2" t="s">
        <v>192</v>
      </c>
    </row>
    <row r="322" spans="1:3" x14ac:dyDescent="0.25">
      <c r="A322" s="4" t="s">
        <v>152</v>
      </c>
      <c r="B322" s="1" t="s">
        <v>1</v>
      </c>
      <c r="C322" s="2">
        <v>1</v>
      </c>
    </row>
    <row r="323" spans="1:3" x14ac:dyDescent="0.25">
      <c r="A323" s="4" t="s">
        <v>151</v>
      </c>
      <c r="B323" s="1" t="s">
        <v>1</v>
      </c>
      <c r="C323" s="2">
        <v>1</v>
      </c>
    </row>
    <row r="324" spans="1:3" x14ac:dyDescent="0.25">
      <c r="A324" s="4" t="s">
        <v>150</v>
      </c>
      <c r="B324" s="1" t="s">
        <v>1</v>
      </c>
      <c r="C324" s="2" t="s">
        <v>355</v>
      </c>
    </row>
    <row r="325" spans="1:3" x14ac:dyDescent="0.25">
      <c r="A325" s="4" t="s">
        <v>120</v>
      </c>
      <c r="B325" s="1" t="s">
        <v>1</v>
      </c>
      <c r="C325" s="2" t="s">
        <v>356</v>
      </c>
    </row>
    <row r="327" spans="1:3" s="7" customFormat="1" ht="15.75" x14ac:dyDescent="0.3">
      <c r="A327" s="5" t="s">
        <v>357</v>
      </c>
      <c r="B327" s="5"/>
      <c r="C327" s="6"/>
    </row>
    <row r="328" spans="1:3" x14ac:dyDescent="0.25">
      <c r="A328" s="4" t="s">
        <v>358</v>
      </c>
      <c r="B328" s="1" t="s">
        <v>1</v>
      </c>
      <c r="C328" s="2" t="s">
        <v>877</v>
      </c>
    </row>
    <row r="329" spans="1:3" x14ac:dyDescent="0.25">
      <c r="A329" s="4" t="s">
        <v>359</v>
      </c>
      <c r="B329" s="1" t="s">
        <v>1</v>
      </c>
      <c r="C329" s="2" t="s">
        <v>867</v>
      </c>
    </row>
    <row r="330" spans="1:3" x14ac:dyDescent="0.25">
      <c r="A330" s="4" t="s">
        <v>154</v>
      </c>
      <c r="B330" s="1" t="s">
        <v>1</v>
      </c>
      <c r="C330" s="2" t="s">
        <v>360</v>
      </c>
    </row>
    <row r="331" spans="1:3" x14ac:dyDescent="0.25">
      <c r="A331" s="4" t="s">
        <v>152</v>
      </c>
      <c r="B331" s="1" t="s">
        <v>1</v>
      </c>
      <c r="C331" s="2">
        <v>4</v>
      </c>
    </row>
    <row r="332" spans="1:3" x14ac:dyDescent="0.25">
      <c r="A332" s="4" t="s">
        <v>151</v>
      </c>
      <c r="B332" s="1" t="s">
        <v>1</v>
      </c>
      <c r="C332" s="2">
        <v>3</v>
      </c>
    </row>
    <row r="333" spans="1:3" x14ac:dyDescent="0.25">
      <c r="A333" s="4" t="s">
        <v>150</v>
      </c>
      <c r="B333" s="1" t="s">
        <v>1</v>
      </c>
      <c r="C333" s="2" t="s">
        <v>907</v>
      </c>
    </row>
    <row r="334" spans="1:3" x14ac:dyDescent="0.25">
      <c r="A334" s="4" t="s">
        <v>149</v>
      </c>
      <c r="B334" s="1" t="s">
        <v>1</v>
      </c>
      <c r="C334" s="2" t="s">
        <v>909</v>
      </c>
    </row>
    <row r="335" spans="1:3" x14ac:dyDescent="0.25">
      <c r="A335" s="4" t="s">
        <v>148</v>
      </c>
      <c r="B335" s="1" t="s">
        <v>1</v>
      </c>
      <c r="C335" s="2" t="s">
        <v>908</v>
      </c>
    </row>
    <row r="336" spans="1:3" x14ac:dyDescent="0.25">
      <c r="A336" s="4" t="s">
        <v>120</v>
      </c>
      <c r="B336" s="1" t="s">
        <v>1</v>
      </c>
      <c r="C336" s="2" t="s">
        <v>868</v>
      </c>
    </row>
    <row r="337" spans="1:3" x14ac:dyDescent="0.25">
      <c r="A337" s="4" t="s">
        <v>119</v>
      </c>
      <c r="B337" s="1" t="s">
        <v>1</v>
      </c>
      <c r="C337" s="2" t="s">
        <v>878</v>
      </c>
    </row>
    <row r="338" spans="1:3" x14ac:dyDescent="0.25">
      <c r="A338" s="4" t="s">
        <v>118</v>
      </c>
      <c r="B338" s="1" t="s">
        <v>1</v>
      </c>
      <c r="C338" s="2" t="s">
        <v>960</v>
      </c>
    </row>
    <row r="340" spans="1:3" s="7" customFormat="1" ht="15.75" x14ac:dyDescent="0.3">
      <c r="A340" s="5" t="s">
        <v>971</v>
      </c>
      <c r="B340" s="5"/>
      <c r="C340" s="6"/>
    </row>
    <row r="341" spans="1:3" x14ac:dyDescent="0.25">
      <c r="A341" s="4" t="s">
        <v>358</v>
      </c>
      <c r="B341" s="1" t="s">
        <v>1</v>
      </c>
      <c r="C341" s="2" t="s">
        <v>877</v>
      </c>
    </row>
    <row r="342" spans="1:3" x14ac:dyDescent="0.25">
      <c r="A342" s="4" t="s">
        <v>359</v>
      </c>
      <c r="B342" s="1" t="s">
        <v>1</v>
      </c>
      <c r="C342" s="2" t="s">
        <v>867</v>
      </c>
    </row>
    <row r="343" spans="1:3" x14ac:dyDescent="0.25">
      <c r="A343" s="4" t="s">
        <v>154</v>
      </c>
      <c r="B343" s="1" t="s">
        <v>1</v>
      </c>
      <c r="C343" s="2" t="s">
        <v>972</v>
      </c>
    </row>
    <row r="344" spans="1:3" x14ac:dyDescent="0.25">
      <c r="A344" s="4" t="s">
        <v>152</v>
      </c>
      <c r="B344" s="1" t="s">
        <v>1</v>
      </c>
      <c r="C344" s="2">
        <v>4</v>
      </c>
    </row>
    <row r="345" spans="1:3" x14ac:dyDescent="0.25">
      <c r="A345" s="4" t="s">
        <v>151</v>
      </c>
      <c r="B345" s="1" t="s">
        <v>1</v>
      </c>
      <c r="C345" s="2">
        <v>3</v>
      </c>
    </row>
    <row r="346" spans="1:3" x14ac:dyDescent="0.25">
      <c r="A346" s="4" t="s">
        <v>150</v>
      </c>
      <c r="B346" s="1" t="s">
        <v>1</v>
      </c>
      <c r="C346" s="2" t="s">
        <v>907</v>
      </c>
    </row>
    <row r="347" spans="1:3" x14ac:dyDescent="0.25">
      <c r="A347" s="4" t="s">
        <v>149</v>
      </c>
      <c r="B347" s="1" t="s">
        <v>1</v>
      </c>
      <c r="C347" s="2" t="s">
        <v>909</v>
      </c>
    </row>
    <row r="348" spans="1:3" x14ac:dyDescent="0.25">
      <c r="A348" s="4" t="s">
        <v>148</v>
      </c>
      <c r="B348" s="1" t="s">
        <v>1</v>
      </c>
      <c r="C348" s="2" t="s">
        <v>908</v>
      </c>
    </row>
    <row r="349" spans="1:3" x14ac:dyDescent="0.25">
      <c r="A349" s="4" t="s">
        <v>120</v>
      </c>
      <c r="B349" s="1" t="s">
        <v>1</v>
      </c>
      <c r="C349" s="2" t="s">
        <v>868</v>
      </c>
    </row>
    <row r="350" spans="1:3" x14ac:dyDescent="0.25">
      <c r="A350" s="4" t="s">
        <v>119</v>
      </c>
      <c r="B350" s="1" t="s">
        <v>1</v>
      </c>
      <c r="C350" s="2" t="s">
        <v>878</v>
      </c>
    </row>
    <row r="351" spans="1:3" x14ac:dyDescent="0.25">
      <c r="A351" s="4" t="s">
        <v>118</v>
      </c>
      <c r="B351" s="1" t="s">
        <v>1</v>
      </c>
      <c r="C351" s="2" t="s">
        <v>973</v>
      </c>
    </row>
    <row r="353" spans="1:3" s="7" customFormat="1" ht="15.75" x14ac:dyDescent="0.3">
      <c r="A353" s="5" t="s">
        <v>361</v>
      </c>
      <c r="B353" s="5"/>
      <c r="C353" s="6"/>
    </row>
    <row r="354" spans="1:3" x14ac:dyDescent="0.25">
      <c r="A354" s="4" t="s">
        <v>154</v>
      </c>
      <c r="B354" s="1" t="s">
        <v>1</v>
      </c>
      <c r="C354" s="2" t="s">
        <v>362</v>
      </c>
    </row>
    <row r="355" spans="1:3" x14ac:dyDescent="0.25">
      <c r="A355" s="4" t="s">
        <v>152</v>
      </c>
      <c r="B355" s="1" t="s">
        <v>1</v>
      </c>
      <c r="C355" s="2">
        <v>2</v>
      </c>
    </row>
    <row r="356" spans="1:3" x14ac:dyDescent="0.25">
      <c r="A356" s="4" t="s">
        <v>151</v>
      </c>
      <c r="B356" s="1" t="s">
        <v>1</v>
      </c>
      <c r="C356" s="2">
        <v>4</v>
      </c>
    </row>
    <row r="357" spans="1:3" x14ac:dyDescent="0.25">
      <c r="A357" s="4" t="s">
        <v>150</v>
      </c>
      <c r="B357" s="1" t="s">
        <v>1</v>
      </c>
      <c r="C357" s="2" t="s">
        <v>363</v>
      </c>
    </row>
    <row r="358" spans="1:3" x14ac:dyDescent="0.25">
      <c r="A358" s="4" t="s">
        <v>149</v>
      </c>
      <c r="B358" s="1" t="s">
        <v>1</v>
      </c>
      <c r="C358" s="2" t="s">
        <v>364</v>
      </c>
    </row>
    <row r="359" spans="1:3" x14ac:dyDescent="0.25">
      <c r="A359" s="4" t="s">
        <v>148</v>
      </c>
      <c r="B359" s="1" t="s">
        <v>1</v>
      </c>
      <c r="C359" s="2" t="s">
        <v>365</v>
      </c>
    </row>
    <row r="360" spans="1:3" x14ac:dyDescent="0.25">
      <c r="A360" s="4" t="s">
        <v>147</v>
      </c>
      <c r="B360" s="1" t="s">
        <v>1</v>
      </c>
      <c r="C360" s="2" t="s">
        <v>366</v>
      </c>
    </row>
    <row r="361" spans="1:3" x14ac:dyDescent="0.25">
      <c r="A361" s="4" t="s">
        <v>120</v>
      </c>
      <c r="B361" s="1" t="s">
        <v>1</v>
      </c>
      <c r="C361" s="2" t="s">
        <v>962</v>
      </c>
    </row>
    <row r="362" spans="1:3" x14ac:dyDescent="0.25">
      <c r="A362" s="4" t="s">
        <v>119</v>
      </c>
      <c r="B362" s="1" t="s">
        <v>1</v>
      </c>
      <c r="C362" s="2" t="s">
        <v>961</v>
      </c>
    </row>
    <row r="363" spans="1:3" x14ac:dyDescent="0.25">
      <c r="A363" s="4" t="s">
        <v>118</v>
      </c>
      <c r="B363" s="1" t="s">
        <v>1</v>
      </c>
      <c r="C363" s="2" t="s">
        <v>831</v>
      </c>
    </row>
    <row r="364" spans="1:3" x14ac:dyDescent="0.25">
      <c r="A364" s="4" t="s">
        <v>117</v>
      </c>
      <c r="B364" s="1" t="s">
        <v>1</v>
      </c>
      <c r="C364" s="2" t="s">
        <v>367</v>
      </c>
    </row>
    <row r="366" spans="1:3" s="7" customFormat="1" ht="15.75" x14ac:dyDescent="0.3">
      <c r="A366" s="5" t="s">
        <v>969</v>
      </c>
      <c r="B366" s="5"/>
      <c r="C366" s="6"/>
    </row>
    <row r="367" spans="1:3" x14ac:dyDescent="0.25">
      <c r="A367" s="4" t="s">
        <v>154</v>
      </c>
      <c r="B367" s="1" t="s">
        <v>1</v>
      </c>
      <c r="C367" s="2" t="s">
        <v>362</v>
      </c>
    </row>
    <row r="368" spans="1:3" x14ac:dyDescent="0.25">
      <c r="A368" s="4" t="s">
        <v>152</v>
      </c>
      <c r="B368" s="1" t="s">
        <v>1</v>
      </c>
      <c r="C368" s="2">
        <v>2</v>
      </c>
    </row>
    <row r="369" spans="1:3" x14ac:dyDescent="0.25">
      <c r="A369" s="4" t="s">
        <v>151</v>
      </c>
      <c r="B369" s="1" t="s">
        <v>1</v>
      </c>
      <c r="C369" s="2">
        <v>4</v>
      </c>
    </row>
    <row r="370" spans="1:3" x14ac:dyDescent="0.25">
      <c r="A370" s="4" t="s">
        <v>150</v>
      </c>
      <c r="B370" s="1" t="s">
        <v>1</v>
      </c>
      <c r="C370" s="2" t="s">
        <v>363</v>
      </c>
    </row>
    <row r="371" spans="1:3" x14ac:dyDescent="0.25">
      <c r="A371" s="4" t="s">
        <v>149</v>
      </c>
      <c r="B371" s="1" t="s">
        <v>1</v>
      </c>
      <c r="C371" s="2" t="s">
        <v>364</v>
      </c>
    </row>
    <row r="372" spans="1:3" x14ac:dyDescent="0.25">
      <c r="A372" s="4" t="s">
        <v>148</v>
      </c>
      <c r="B372" s="1" t="s">
        <v>1</v>
      </c>
      <c r="C372" s="2" t="s">
        <v>365</v>
      </c>
    </row>
    <row r="373" spans="1:3" x14ac:dyDescent="0.25">
      <c r="A373" s="4" t="s">
        <v>147</v>
      </c>
      <c r="B373" s="1" t="s">
        <v>1</v>
      </c>
      <c r="C373" s="2" t="s">
        <v>366</v>
      </c>
    </row>
    <row r="374" spans="1:3" x14ac:dyDescent="0.25">
      <c r="A374" s="4" t="s">
        <v>120</v>
      </c>
      <c r="B374" s="1" t="s">
        <v>1</v>
      </c>
      <c r="C374" s="2" t="s">
        <v>970</v>
      </c>
    </row>
    <row r="375" spans="1:3" x14ac:dyDescent="0.25">
      <c r="A375" s="4" t="s">
        <v>119</v>
      </c>
      <c r="B375" s="1" t="s">
        <v>1</v>
      </c>
      <c r="C375" s="2" t="s">
        <v>965</v>
      </c>
    </row>
    <row r="376" spans="1:3" x14ac:dyDescent="0.25">
      <c r="A376" s="4" t="s">
        <v>118</v>
      </c>
      <c r="B376" s="1" t="s">
        <v>1</v>
      </c>
      <c r="C376" s="2" t="s">
        <v>831</v>
      </c>
    </row>
    <row r="377" spans="1:3" x14ac:dyDescent="0.25">
      <c r="A377" s="4" t="s">
        <v>117</v>
      </c>
      <c r="B377" s="1" t="s">
        <v>1</v>
      </c>
      <c r="C377" s="2" t="s">
        <v>367</v>
      </c>
    </row>
    <row r="379" spans="1:3" s="7" customFormat="1" ht="15.75" x14ac:dyDescent="0.3">
      <c r="A379" s="5" t="s">
        <v>368</v>
      </c>
      <c r="B379" s="5"/>
      <c r="C379" s="6"/>
    </row>
    <row r="380" spans="1:3" x14ac:dyDescent="0.25">
      <c r="A380" s="4" t="s">
        <v>154</v>
      </c>
      <c r="B380" s="1" t="s">
        <v>1</v>
      </c>
      <c r="C380" s="2" t="s">
        <v>192</v>
      </c>
    </row>
    <row r="381" spans="1:3" x14ac:dyDescent="0.25">
      <c r="A381" s="4" t="s">
        <v>152</v>
      </c>
      <c r="B381" s="1" t="s">
        <v>1</v>
      </c>
      <c r="C381" s="2">
        <v>1</v>
      </c>
    </row>
    <row r="382" spans="1:3" x14ac:dyDescent="0.25">
      <c r="A382" s="4" t="s">
        <v>151</v>
      </c>
      <c r="B382" s="1" t="s">
        <v>1</v>
      </c>
      <c r="C382" s="2">
        <v>1</v>
      </c>
    </row>
    <row r="383" spans="1:3" x14ac:dyDescent="0.25">
      <c r="A383" s="4" t="s">
        <v>150</v>
      </c>
      <c r="B383" s="1" t="s">
        <v>1</v>
      </c>
      <c r="C383" s="2" t="s">
        <v>369</v>
      </c>
    </row>
    <row r="384" spans="1:3" x14ac:dyDescent="0.25">
      <c r="A384" s="4" t="s">
        <v>120</v>
      </c>
      <c r="B384" s="1" t="s">
        <v>1</v>
      </c>
      <c r="C384" s="2" t="s">
        <v>963</v>
      </c>
    </row>
    <row r="386" spans="1:3" s="7" customFormat="1" ht="15.75" x14ac:dyDescent="0.3">
      <c r="A386" s="5" t="s">
        <v>966</v>
      </c>
      <c r="B386" s="5"/>
      <c r="C386" s="6"/>
    </row>
    <row r="387" spans="1:3" x14ac:dyDescent="0.25">
      <c r="A387" s="4" t="s">
        <v>154</v>
      </c>
      <c r="B387" s="1" t="s">
        <v>1</v>
      </c>
      <c r="C387" s="2" t="s">
        <v>192</v>
      </c>
    </row>
    <row r="388" spans="1:3" x14ac:dyDescent="0.25">
      <c r="A388" s="4" t="s">
        <v>152</v>
      </c>
      <c r="B388" s="1" t="s">
        <v>1</v>
      </c>
      <c r="C388" s="2">
        <v>1</v>
      </c>
    </row>
    <row r="389" spans="1:3" x14ac:dyDescent="0.25">
      <c r="A389" s="4" t="s">
        <v>151</v>
      </c>
      <c r="B389" s="1" t="s">
        <v>1</v>
      </c>
      <c r="C389" s="2">
        <v>1</v>
      </c>
    </row>
    <row r="390" spans="1:3" x14ac:dyDescent="0.25">
      <c r="A390" s="4" t="s">
        <v>150</v>
      </c>
      <c r="B390" s="1" t="s">
        <v>1</v>
      </c>
      <c r="C390" s="2" t="s">
        <v>967</v>
      </c>
    </row>
    <row r="391" spans="1:3" x14ac:dyDescent="0.25">
      <c r="A391" s="4" t="s">
        <v>120</v>
      </c>
      <c r="B391" s="1" t="s">
        <v>1</v>
      </c>
      <c r="C391" s="2" t="s">
        <v>968</v>
      </c>
    </row>
    <row r="393" spans="1:3" s="7" customFormat="1" ht="15.75" x14ac:dyDescent="0.3">
      <c r="A393" s="5" t="s">
        <v>370</v>
      </c>
      <c r="B393" s="5"/>
      <c r="C393" s="6"/>
    </row>
    <row r="394" spans="1:3" x14ac:dyDescent="0.25">
      <c r="A394" s="4" t="s">
        <v>154</v>
      </c>
      <c r="B394" s="1" t="s">
        <v>1</v>
      </c>
      <c r="C394" s="2" t="s">
        <v>371</v>
      </c>
    </row>
    <row r="395" spans="1:3" x14ac:dyDescent="0.25">
      <c r="A395" s="4" t="s">
        <v>152</v>
      </c>
      <c r="B395" s="1" t="s">
        <v>1</v>
      </c>
      <c r="C395" s="2">
        <v>0</v>
      </c>
    </row>
    <row r="396" spans="1:3" x14ac:dyDescent="0.25">
      <c r="A396" s="4" t="s">
        <v>151</v>
      </c>
      <c r="B396" s="1" t="s">
        <v>1</v>
      </c>
      <c r="C396" s="2">
        <v>1</v>
      </c>
    </row>
    <row r="397" spans="1:3" x14ac:dyDescent="0.25">
      <c r="A397" s="4" t="s">
        <v>150</v>
      </c>
      <c r="B397" s="1" t="s">
        <v>1</v>
      </c>
      <c r="C397" s="2" t="s">
        <v>192</v>
      </c>
    </row>
    <row r="398" spans="1:3" x14ac:dyDescent="0.25">
      <c r="A398" s="4" t="s">
        <v>120</v>
      </c>
      <c r="B398" s="1" t="s">
        <v>1</v>
      </c>
      <c r="C398" s="2" t="s">
        <v>961</v>
      </c>
    </row>
    <row r="400" spans="1:3" s="7" customFormat="1" ht="15.75" x14ac:dyDescent="0.3">
      <c r="A400" s="5" t="s">
        <v>964</v>
      </c>
      <c r="B400" s="5"/>
      <c r="C400" s="6"/>
    </row>
    <row r="401" spans="1:3" x14ac:dyDescent="0.25">
      <c r="A401" s="4" t="s">
        <v>154</v>
      </c>
      <c r="B401" s="1" t="s">
        <v>1</v>
      </c>
      <c r="C401" s="2" t="s">
        <v>371</v>
      </c>
    </row>
    <row r="402" spans="1:3" x14ac:dyDescent="0.25">
      <c r="A402" s="4" t="s">
        <v>152</v>
      </c>
      <c r="B402" s="1" t="s">
        <v>1</v>
      </c>
      <c r="C402" s="2">
        <v>0</v>
      </c>
    </row>
    <row r="403" spans="1:3" x14ac:dyDescent="0.25">
      <c r="A403" s="4" t="s">
        <v>151</v>
      </c>
      <c r="B403" s="1" t="s">
        <v>1</v>
      </c>
      <c r="C403" s="2">
        <v>1</v>
      </c>
    </row>
    <row r="404" spans="1:3" x14ac:dyDescent="0.25">
      <c r="A404" s="4" t="s">
        <v>150</v>
      </c>
      <c r="B404" s="1" t="s">
        <v>1</v>
      </c>
      <c r="C404" s="2" t="s">
        <v>192</v>
      </c>
    </row>
    <row r="405" spans="1:3" x14ac:dyDescent="0.25">
      <c r="A405" s="4" t="s">
        <v>120</v>
      </c>
      <c r="B405" s="1" t="s">
        <v>1</v>
      </c>
      <c r="C405" s="2" t="s">
        <v>965</v>
      </c>
    </row>
    <row r="407" spans="1:3" s="7" customFormat="1" ht="15.75" x14ac:dyDescent="0.3">
      <c r="A407" s="5" t="s">
        <v>372</v>
      </c>
      <c r="B407" s="5"/>
      <c r="C407" s="6"/>
    </row>
    <row r="408" spans="1:3" x14ac:dyDescent="0.25">
      <c r="A408" s="4" t="s">
        <v>154</v>
      </c>
      <c r="B408" s="1" t="s">
        <v>1</v>
      </c>
      <c r="C408" s="2" t="s">
        <v>373</v>
      </c>
    </row>
    <row r="409" spans="1:3" x14ac:dyDescent="0.25">
      <c r="A409" s="4" t="s">
        <v>152</v>
      </c>
      <c r="B409" s="1" t="s">
        <v>1</v>
      </c>
      <c r="C409" s="2">
        <v>2</v>
      </c>
    </row>
    <row r="410" spans="1:3" x14ac:dyDescent="0.25">
      <c r="A410" s="4" t="s">
        <v>151</v>
      </c>
      <c r="B410" s="1" t="s">
        <v>1</v>
      </c>
      <c r="C410" s="2">
        <v>2</v>
      </c>
    </row>
    <row r="411" spans="1:3" x14ac:dyDescent="0.25">
      <c r="A411" s="4" t="s">
        <v>150</v>
      </c>
      <c r="B411" s="1" t="s">
        <v>1</v>
      </c>
      <c r="C411" s="2" t="s">
        <v>883</v>
      </c>
    </row>
    <row r="412" spans="1:3" x14ac:dyDescent="0.25">
      <c r="A412" s="4" t="s">
        <v>149</v>
      </c>
      <c r="B412" s="1" t="s">
        <v>1</v>
      </c>
      <c r="C412" s="2" t="s">
        <v>884</v>
      </c>
    </row>
    <row r="413" spans="1:3" x14ac:dyDescent="0.25">
      <c r="A413" s="4" t="s">
        <v>120</v>
      </c>
      <c r="B413" s="1" t="s">
        <v>1</v>
      </c>
      <c r="C413" s="2" t="s">
        <v>374</v>
      </c>
    </row>
    <row r="414" spans="1:3" x14ac:dyDescent="0.25">
      <c r="A414" s="4" t="s">
        <v>119</v>
      </c>
      <c r="B414" s="1" t="s">
        <v>1</v>
      </c>
      <c r="C414" s="2" t="s">
        <v>375</v>
      </c>
    </row>
    <row r="416" spans="1:3" s="7" customFormat="1" ht="15.75" x14ac:dyDescent="0.3">
      <c r="A416" s="5" t="s">
        <v>376</v>
      </c>
      <c r="B416" s="5"/>
      <c r="C416" s="6"/>
    </row>
    <row r="417" spans="1:3" x14ac:dyDescent="0.25">
      <c r="A417" s="4" t="s">
        <v>154</v>
      </c>
      <c r="B417" s="1" t="s">
        <v>1</v>
      </c>
      <c r="C417" s="2" t="s">
        <v>377</v>
      </c>
    </row>
    <row r="418" spans="1:3" x14ac:dyDescent="0.25">
      <c r="A418" s="4" t="s">
        <v>152</v>
      </c>
      <c r="B418" s="1" t="s">
        <v>1</v>
      </c>
      <c r="C418" s="2">
        <v>3</v>
      </c>
    </row>
    <row r="419" spans="1:3" x14ac:dyDescent="0.25">
      <c r="A419" s="4" t="s">
        <v>151</v>
      </c>
      <c r="B419" s="1" t="s">
        <v>1</v>
      </c>
      <c r="C419" s="2">
        <v>3</v>
      </c>
    </row>
    <row r="420" spans="1:3" x14ac:dyDescent="0.25">
      <c r="A420" s="4" t="s">
        <v>150</v>
      </c>
      <c r="B420" s="1" t="s">
        <v>1</v>
      </c>
      <c r="C420" s="2" t="s">
        <v>378</v>
      </c>
    </row>
    <row r="421" spans="1:3" x14ac:dyDescent="0.25">
      <c r="A421" s="4" t="s">
        <v>149</v>
      </c>
      <c r="B421" s="1" t="s">
        <v>1</v>
      </c>
      <c r="C421" s="2" t="s">
        <v>379</v>
      </c>
    </row>
    <row r="422" spans="1:3" x14ac:dyDescent="0.25">
      <c r="A422" s="4" t="s">
        <v>148</v>
      </c>
      <c r="B422" s="1" t="s">
        <v>1</v>
      </c>
      <c r="C422" s="2" t="s">
        <v>380</v>
      </c>
    </row>
    <row r="423" spans="1:3" x14ac:dyDescent="0.25">
      <c r="A423" s="4" t="s">
        <v>120</v>
      </c>
      <c r="B423" s="1" t="s">
        <v>1</v>
      </c>
      <c r="C423" s="2" t="s">
        <v>859</v>
      </c>
    </row>
    <row r="424" spans="1:3" x14ac:dyDescent="0.25">
      <c r="A424" s="4" t="s">
        <v>119</v>
      </c>
      <c r="B424" s="1" t="s">
        <v>1</v>
      </c>
      <c r="C424" s="2" t="s">
        <v>860</v>
      </c>
    </row>
    <row r="425" spans="1:3" x14ac:dyDescent="0.25">
      <c r="A425" s="4" t="s">
        <v>118</v>
      </c>
      <c r="B425" s="1" t="s">
        <v>1</v>
      </c>
      <c r="C425" s="2" t="s">
        <v>381</v>
      </c>
    </row>
    <row r="427" spans="1:3" s="7" customFormat="1" ht="15.75" x14ac:dyDescent="0.3">
      <c r="A427" s="5" t="s">
        <v>382</v>
      </c>
      <c r="B427" s="5"/>
      <c r="C427" s="6"/>
    </row>
    <row r="428" spans="1:3" x14ac:dyDescent="0.25">
      <c r="A428" s="4" t="s">
        <v>154</v>
      </c>
      <c r="B428" s="1" t="s">
        <v>1</v>
      </c>
      <c r="C428" s="2" t="s">
        <v>383</v>
      </c>
    </row>
    <row r="429" spans="1:3" x14ac:dyDescent="0.25">
      <c r="A429" s="4" t="s">
        <v>152</v>
      </c>
      <c r="B429" s="1" t="s">
        <v>1</v>
      </c>
      <c r="C429" s="2">
        <v>1</v>
      </c>
    </row>
    <row r="430" spans="1:3" x14ac:dyDescent="0.25">
      <c r="A430" s="4" t="s">
        <v>151</v>
      </c>
      <c r="B430" s="1" t="s">
        <v>1</v>
      </c>
      <c r="C430" s="2">
        <v>1</v>
      </c>
    </row>
    <row r="431" spans="1:3" x14ac:dyDescent="0.25">
      <c r="A431" s="4" t="s">
        <v>150</v>
      </c>
      <c r="B431" s="1" t="s">
        <v>1</v>
      </c>
      <c r="C431" s="2" t="s">
        <v>885</v>
      </c>
    </row>
    <row r="432" spans="1:3" x14ac:dyDescent="0.25">
      <c r="A432" s="4" t="s">
        <v>120</v>
      </c>
      <c r="B432" s="1" t="s">
        <v>1</v>
      </c>
      <c r="C432" s="2" t="s">
        <v>869</v>
      </c>
    </row>
    <row r="434" spans="1:3" x14ac:dyDescent="0.25">
      <c r="A434" s="4" t="s">
        <v>384</v>
      </c>
    </row>
    <row r="436" spans="1:3" s="7" customFormat="1" ht="15.75" x14ac:dyDescent="0.3">
      <c r="A436" s="5" t="s">
        <v>385</v>
      </c>
      <c r="B436" s="5"/>
      <c r="C436" s="6"/>
    </row>
    <row r="437" spans="1:3" x14ac:dyDescent="0.25">
      <c r="A437" s="4" t="s">
        <v>154</v>
      </c>
      <c r="B437" s="1" t="s">
        <v>1</v>
      </c>
      <c r="C437" s="2" t="s">
        <v>386</v>
      </c>
    </row>
    <row r="438" spans="1:3" x14ac:dyDescent="0.25">
      <c r="A438" s="4" t="s">
        <v>152</v>
      </c>
      <c r="B438" s="1" t="s">
        <v>1</v>
      </c>
      <c r="C438" s="2">
        <v>0</v>
      </c>
    </row>
    <row r="439" spans="1:3" x14ac:dyDescent="0.25">
      <c r="A439" s="4" t="s">
        <v>151</v>
      </c>
      <c r="B439" s="1" t="s">
        <v>1</v>
      </c>
      <c r="C439" s="2">
        <v>0</v>
      </c>
    </row>
    <row r="440" spans="1:3" x14ac:dyDescent="0.25">
      <c r="A440" s="4" t="s">
        <v>150</v>
      </c>
      <c r="B440" s="1" t="s">
        <v>1</v>
      </c>
      <c r="C440" s="2" t="s">
        <v>192</v>
      </c>
    </row>
    <row r="441" spans="1:3" x14ac:dyDescent="0.25">
      <c r="A441" s="4" t="s">
        <v>120</v>
      </c>
      <c r="B441" s="1" t="s">
        <v>1</v>
      </c>
      <c r="C441" s="2" t="s">
        <v>192</v>
      </c>
    </row>
    <row r="443" spans="1:3" s="7" customFormat="1" ht="15.75" x14ac:dyDescent="0.3">
      <c r="A443" s="5" t="s">
        <v>387</v>
      </c>
      <c r="B443" s="5"/>
      <c r="C443" s="6"/>
    </row>
    <row r="444" spans="1:3" x14ac:dyDescent="0.25">
      <c r="A444" s="4" t="s">
        <v>154</v>
      </c>
      <c r="B444" s="1" t="s">
        <v>1</v>
      </c>
      <c r="C444" s="2" t="s">
        <v>192</v>
      </c>
    </row>
    <row r="445" spans="1:3" x14ac:dyDescent="0.25">
      <c r="A445" s="4" t="s">
        <v>152</v>
      </c>
      <c r="B445" s="1" t="s">
        <v>1</v>
      </c>
      <c r="C445" s="2">
        <v>2</v>
      </c>
    </row>
    <row r="446" spans="1:3" x14ac:dyDescent="0.25">
      <c r="A446" s="4" t="s">
        <v>151</v>
      </c>
      <c r="B446" s="1" t="s">
        <v>1</v>
      </c>
      <c r="C446" s="2">
        <v>2</v>
      </c>
    </row>
    <row r="447" spans="1:3" x14ac:dyDescent="0.25">
      <c r="A447" s="4" t="s">
        <v>150</v>
      </c>
      <c r="B447" s="1" t="s">
        <v>1</v>
      </c>
      <c r="C447" s="2" t="s">
        <v>388</v>
      </c>
    </row>
    <row r="448" spans="1:3" x14ac:dyDescent="0.25">
      <c r="A448" s="4" t="s">
        <v>149</v>
      </c>
      <c r="B448" s="1" t="s">
        <v>1</v>
      </c>
      <c r="C448" s="2" t="s">
        <v>1085</v>
      </c>
    </row>
    <row r="449" spans="1:3" x14ac:dyDescent="0.25">
      <c r="A449" s="4" t="s">
        <v>120</v>
      </c>
      <c r="B449" s="1" t="s">
        <v>1</v>
      </c>
      <c r="C449" s="2" t="s">
        <v>845</v>
      </c>
    </row>
    <row r="450" spans="1:3" x14ac:dyDescent="0.25">
      <c r="A450" s="4" t="s">
        <v>119</v>
      </c>
      <c r="B450" s="1" t="s">
        <v>1</v>
      </c>
      <c r="C450" s="2" t="s">
        <v>389</v>
      </c>
    </row>
    <row r="452" spans="1:3" s="7" customFormat="1" ht="15.75" x14ac:dyDescent="0.3">
      <c r="A452" s="5" t="s">
        <v>390</v>
      </c>
      <c r="B452" s="5"/>
      <c r="C452" s="6"/>
    </row>
    <row r="453" spans="1:3" x14ac:dyDescent="0.25">
      <c r="A453" s="4" t="s">
        <v>154</v>
      </c>
      <c r="B453" s="1" t="s">
        <v>1</v>
      </c>
      <c r="C453" s="2" t="s">
        <v>391</v>
      </c>
    </row>
    <row r="454" spans="1:3" x14ac:dyDescent="0.25">
      <c r="A454" s="4" t="s">
        <v>152</v>
      </c>
      <c r="B454" s="1" t="s">
        <v>1</v>
      </c>
      <c r="C454" s="2">
        <v>3</v>
      </c>
    </row>
    <row r="455" spans="1:3" x14ac:dyDescent="0.25">
      <c r="A455" s="4" t="s">
        <v>151</v>
      </c>
      <c r="B455" s="1" t="s">
        <v>1</v>
      </c>
      <c r="C455" s="2">
        <v>2</v>
      </c>
    </row>
    <row r="456" spans="1:3" x14ac:dyDescent="0.25">
      <c r="A456" s="4" t="s">
        <v>150</v>
      </c>
      <c r="B456" s="1" t="s">
        <v>1</v>
      </c>
      <c r="C456" s="2" t="s">
        <v>392</v>
      </c>
    </row>
    <row r="457" spans="1:3" x14ac:dyDescent="0.25">
      <c r="A457" s="4" t="s">
        <v>149</v>
      </c>
      <c r="B457" s="1" t="s">
        <v>1</v>
      </c>
      <c r="C457" s="2" t="s">
        <v>393</v>
      </c>
    </row>
    <row r="458" spans="1:3" x14ac:dyDescent="0.25">
      <c r="A458" s="4" t="s">
        <v>120</v>
      </c>
      <c r="B458" s="1" t="s">
        <v>1</v>
      </c>
      <c r="C458" s="2" t="s">
        <v>851</v>
      </c>
    </row>
    <row r="459" spans="1:3" x14ac:dyDescent="0.25">
      <c r="A459" s="4" t="s">
        <v>119</v>
      </c>
      <c r="B459" s="1" t="s">
        <v>1</v>
      </c>
      <c r="C459" s="2" t="s">
        <v>394</v>
      </c>
    </row>
    <row r="461" spans="1:3" s="7" customFormat="1" ht="15.75" x14ac:dyDescent="0.3">
      <c r="A461" s="5" t="s">
        <v>395</v>
      </c>
      <c r="B461" s="5"/>
      <c r="C461" s="6"/>
    </row>
    <row r="462" spans="1:3" x14ac:dyDescent="0.25">
      <c r="A462" s="4" t="s">
        <v>154</v>
      </c>
      <c r="B462" s="1" t="s">
        <v>1</v>
      </c>
      <c r="C462" s="2" t="s">
        <v>192</v>
      </c>
    </row>
    <row r="463" spans="1:3" x14ac:dyDescent="0.25">
      <c r="A463" s="4" t="s">
        <v>152</v>
      </c>
      <c r="B463" s="1" t="s">
        <v>1</v>
      </c>
      <c r="C463" s="2">
        <v>2</v>
      </c>
    </row>
    <row r="464" spans="1:3" x14ac:dyDescent="0.25">
      <c r="A464" s="4" t="s">
        <v>151</v>
      </c>
      <c r="B464" s="1" t="s">
        <v>1</v>
      </c>
      <c r="C464" s="2">
        <v>1</v>
      </c>
    </row>
    <row r="465" spans="1:3" x14ac:dyDescent="0.25">
      <c r="A465" s="4" t="s">
        <v>150</v>
      </c>
      <c r="B465" s="1" t="s">
        <v>1</v>
      </c>
      <c r="C465" s="2" t="s">
        <v>396</v>
      </c>
    </row>
    <row r="466" spans="1:3" x14ac:dyDescent="0.25">
      <c r="A466" s="4" t="s">
        <v>120</v>
      </c>
      <c r="B466" s="1" t="s">
        <v>1</v>
      </c>
      <c r="C466" s="2" t="s">
        <v>397</v>
      </c>
    </row>
    <row r="468" spans="1:3" s="7" customFormat="1" ht="15.75" x14ac:dyDescent="0.3">
      <c r="A468" s="5" t="s">
        <v>1061</v>
      </c>
      <c r="B468" s="5"/>
      <c r="C468" s="6"/>
    </row>
    <row r="469" spans="1:3" x14ac:dyDescent="0.25">
      <c r="A469" s="4" t="s">
        <v>154</v>
      </c>
      <c r="B469" s="1" t="s">
        <v>1</v>
      </c>
      <c r="C469" s="2" t="s">
        <v>192</v>
      </c>
    </row>
    <row r="470" spans="1:3" x14ac:dyDescent="0.25">
      <c r="A470" s="4" t="s">
        <v>152</v>
      </c>
      <c r="B470" s="1" t="s">
        <v>1</v>
      </c>
      <c r="C470" s="2">
        <v>2</v>
      </c>
    </row>
    <row r="471" spans="1:3" x14ac:dyDescent="0.25">
      <c r="A471" s="4" t="s">
        <v>151</v>
      </c>
      <c r="B471" s="1" t="s">
        <v>1</v>
      </c>
      <c r="C471" s="2">
        <v>1</v>
      </c>
    </row>
    <row r="472" spans="1:3" x14ac:dyDescent="0.25">
      <c r="A472" s="4" t="s">
        <v>150</v>
      </c>
      <c r="B472" s="1" t="s">
        <v>1</v>
      </c>
      <c r="C472" s="2" t="s">
        <v>396</v>
      </c>
    </row>
    <row r="473" spans="1:3" x14ac:dyDescent="0.25">
      <c r="A473" s="4" t="s">
        <v>120</v>
      </c>
      <c r="B473" s="1" t="s">
        <v>1</v>
      </c>
      <c r="C473" s="2" t="s">
        <v>1062</v>
      </c>
    </row>
    <row r="475" spans="1:3" s="7" customFormat="1" ht="15.75" x14ac:dyDescent="0.3">
      <c r="A475" s="5" t="s">
        <v>398</v>
      </c>
      <c r="B475" s="5"/>
      <c r="C475" s="6"/>
    </row>
    <row r="476" spans="1:3" x14ac:dyDescent="0.25">
      <c r="A476" s="4" t="s">
        <v>154</v>
      </c>
      <c r="B476" s="1" t="s">
        <v>1</v>
      </c>
      <c r="C476" s="2" t="s">
        <v>192</v>
      </c>
    </row>
    <row r="477" spans="1:3" x14ac:dyDescent="0.25">
      <c r="A477" s="4" t="s">
        <v>152</v>
      </c>
      <c r="B477" s="1" t="s">
        <v>1</v>
      </c>
      <c r="C477" s="2">
        <v>2</v>
      </c>
    </row>
    <row r="478" spans="1:3" x14ac:dyDescent="0.25">
      <c r="A478" s="4" t="s">
        <v>151</v>
      </c>
      <c r="B478" s="1" t="s">
        <v>1</v>
      </c>
      <c r="C478" s="2">
        <v>2</v>
      </c>
    </row>
    <row r="479" spans="1:3" x14ac:dyDescent="0.25">
      <c r="A479" s="4" t="s">
        <v>150</v>
      </c>
      <c r="B479" s="1" t="s">
        <v>1</v>
      </c>
      <c r="C479" s="2" t="s">
        <v>399</v>
      </c>
    </row>
    <row r="480" spans="1:3" x14ac:dyDescent="0.25">
      <c r="A480" s="4" t="s">
        <v>120</v>
      </c>
      <c r="B480" s="1" t="s">
        <v>1</v>
      </c>
      <c r="C480" s="2" t="s">
        <v>400</v>
      </c>
    </row>
    <row r="482" spans="1:3" s="7" customFormat="1" ht="15.75" x14ac:dyDescent="0.3">
      <c r="A482" s="5" t="s">
        <v>1063</v>
      </c>
      <c r="B482" s="5"/>
      <c r="C482" s="6"/>
    </row>
    <row r="483" spans="1:3" x14ac:dyDescent="0.25">
      <c r="A483" s="4" t="s">
        <v>154</v>
      </c>
      <c r="B483" s="1" t="s">
        <v>1</v>
      </c>
      <c r="C483" s="2" t="s">
        <v>192</v>
      </c>
    </row>
    <row r="484" spans="1:3" x14ac:dyDescent="0.25">
      <c r="A484" s="4" t="s">
        <v>152</v>
      </c>
      <c r="B484" s="1" t="s">
        <v>1</v>
      </c>
      <c r="C484" s="2">
        <v>2</v>
      </c>
    </row>
    <row r="485" spans="1:3" x14ac:dyDescent="0.25">
      <c r="A485" s="4" t="s">
        <v>151</v>
      </c>
      <c r="B485" s="1" t="s">
        <v>1</v>
      </c>
      <c r="C485" s="2">
        <v>2</v>
      </c>
    </row>
    <row r="486" spans="1:3" x14ac:dyDescent="0.25">
      <c r="A486" s="4" t="s">
        <v>150</v>
      </c>
      <c r="B486" s="1" t="s">
        <v>1</v>
      </c>
      <c r="C486" s="2" t="s">
        <v>399</v>
      </c>
    </row>
    <row r="487" spans="1:3" x14ac:dyDescent="0.25">
      <c r="A487" s="4" t="s">
        <v>120</v>
      </c>
      <c r="B487" s="1" t="s">
        <v>1</v>
      </c>
      <c r="C487" s="2" t="s">
        <v>1064</v>
      </c>
    </row>
    <row r="489" spans="1:3" s="7" customFormat="1" ht="15.75" x14ac:dyDescent="0.3">
      <c r="A489" s="5" t="s">
        <v>401</v>
      </c>
      <c r="B489" s="5"/>
      <c r="C489" s="6"/>
    </row>
    <row r="490" spans="1:3" x14ac:dyDescent="0.25">
      <c r="A490" s="4" t="s">
        <v>154</v>
      </c>
      <c r="B490" s="1" t="s">
        <v>1</v>
      </c>
      <c r="C490" s="2" t="s">
        <v>192</v>
      </c>
    </row>
    <row r="491" spans="1:3" x14ac:dyDescent="0.25">
      <c r="A491" s="4" t="s">
        <v>152</v>
      </c>
      <c r="B491" s="1" t="s">
        <v>1</v>
      </c>
      <c r="C491" s="2">
        <v>2</v>
      </c>
    </row>
    <row r="492" spans="1:3" x14ac:dyDescent="0.25">
      <c r="A492" s="4" t="s">
        <v>151</v>
      </c>
      <c r="B492" s="1" t="s">
        <v>1</v>
      </c>
      <c r="C492" s="2">
        <v>1</v>
      </c>
    </row>
    <row r="493" spans="1:3" x14ac:dyDescent="0.25">
      <c r="A493" s="4" t="s">
        <v>150</v>
      </c>
      <c r="B493" s="1" t="s">
        <v>1</v>
      </c>
      <c r="C493" s="2" t="s">
        <v>192</v>
      </c>
    </row>
    <row r="494" spans="1:3" x14ac:dyDescent="0.25">
      <c r="A494" s="4" t="s">
        <v>120</v>
      </c>
      <c r="B494" s="1" t="s">
        <v>1</v>
      </c>
      <c r="C494" s="2" t="s">
        <v>402</v>
      </c>
    </row>
    <row r="496" spans="1:3" s="7" customFormat="1" ht="15.75" x14ac:dyDescent="0.3">
      <c r="A496" s="5" t="s">
        <v>1065</v>
      </c>
      <c r="B496" s="5"/>
      <c r="C496" s="6"/>
    </row>
    <row r="497" spans="1:3" x14ac:dyDescent="0.25">
      <c r="A497" s="4" t="s">
        <v>154</v>
      </c>
      <c r="B497" s="1" t="s">
        <v>1</v>
      </c>
      <c r="C497" s="2" t="s">
        <v>192</v>
      </c>
    </row>
    <row r="498" spans="1:3" x14ac:dyDescent="0.25">
      <c r="A498" s="4" t="s">
        <v>152</v>
      </c>
      <c r="B498" s="1" t="s">
        <v>1</v>
      </c>
      <c r="C498" s="2">
        <v>2</v>
      </c>
    </row>
    <row r="499" spans="1:3" x14ac:dyDescent="0.25">
      <c r="A499" s="4" t="s">
        <v>151</v>
      </c>
      <c r="B499" s="1" t="s">
        <v>1</v>
      </c>
      <c r="C499" s="2">
        <v>1</v>
      </c>
    </row>
    <row r="500" spans="1:3" x14ac:dyDescent="0.25">
      <c r="A500" s="4" t="s">
        <v>150</v>
      </c>
      <c r="B500" s="1" t="s">
        <v>1</v>
      </c>
      <c r="C500" s="2" t="s">
        <v>192</v>
      </c>
    </row>
    <row r="501" spans="1:3" x14ac:dyDescent="0.25">
      <c r="A501" s="4" t="s">
        <v>120</v>
      </c>
      <c r="B501" s="1" t="s">
        <v>1</v>
      </c>
      <c r="C501" s="2" t="s">
        <v>1066</v>
      </c>
    </row>
    <row r="503" spans="1:3" s="7" customFormat="1" ht="15.75" x14ac:dyDescent="0.3">
      <c r="A503" s="5" t="s">
        <v>403</v>
      </c>
      <c r="B503" s="5"/>
      <c r="C503" s="6"/>
    </row>
    <row r="504" spans="1:3" x14ac:dyDescent="0.25">
      <c r="A504" s="4" t="s">
        <v>154</v>
      </c>
      <c r="B504" s="1" t="s">
        <v>1</v>
      </c>
      <c r="C504" s="2" t="s">
        <v>192</v>
      </c>
    </row>
    <row r="505" spans="1:3" x14ac:dyDescent="0.25">
      <c r="A505" s="4" t="s">
        <v>152</v>
      </c>
      <c r="B505" s="1" t="s">
        <v>1</v>
      </c>
      <c r="C505" s="2">
        <v>1</v>
      </c>
    </row>
    <row r="506" spans="1:3" x14ac:dyDescent="0.25">
      <c r="A506" s="4" t="s">
        <v>151</v>
      </c>
      <c r="B506" s="1" t="s">
        <v>1</v>
      </c>
      <c r="C506" s="2">
        <v>1</v>
      </c>
    </row>
    <row r="507" spans="1:3" x14ac:dyDescent="0.25">
      <c r="A507" s="4" t="s">
        <v>150</v>
      </c>
      <c r="B507" s="1" t="s">
        <v>1</v>
      </c>
      <c r="C507" s="2" t="s">
        <v>404</v>
      </c>
    </row>
    <row r="508" spans="1:3" x14ac:dyDescent="0.25">
      <c r="A508" s="4" t="s">
        <v>120</v>
      </c>
      <c r="B508" s="1" t="s">
        <v>1</v>
      </c>
      <c r="C508" s="2" t="s">
        <v>667</v>
      </c>
    </row>
    <row r="510" spans="1:3" s="7" customFormat="1" ht="15.75" x14ac:dyDescent="0.3">
      <c r="A510" s="5" t="s">
        <v>405</v>
      </c>
      <c r="B510" s="5"/>
      <c r="C510" s="6"/>
    </row>
    <row r="511" spans="1:3" x14ac:dyDescent="0.25">
      <c r="A511" s="4" t="s">
        <v>154</v>
      </c>
      <c r="B511" s="1" t="s">
        <v>1</v>
      </c>
      <c r="C511" s="2" t="s">
        <v>192</v>
      </c>
    </row>
    <row r="512" spans="1:3" x14ac:dyDescent="0.25">
      <c r="A512" s="4" t="s">
        <v>152</v>
      </c>
      <c r="B512" s="1" t="s">
        <v>1</v>
      </c>
      <c r="C512" s="2">
        <v>1</v>
      </c>
    </row>
    <row r="513" spans="1:3" x14ac:dyDescent="0.25">
      <c r="A513" s="4" t="s">
        <v>151</v>
      </c>
      <c r="B513" s="1" t="s">
        <v>1</v>
      </c>
      <c r="C513" s="2">
        <v>1</v>
      </c>
    </row>
    <row r="514" spans="1:3" x14ac:dyDescent="0.25">
      <c r="A514" s="4" t="s">
        <v>150</v>
      </c>
      <c r="B514" s="1" t="s">
        <v>1</v>
      </c>
      <c r="C514" s="2" t="s">
        <v>406</v>
      </c>
    </row>
    <row r="515" spans="1:3" x14ac:dyDescent="0.25">
      <c r="A515" s="4" t="s">
        <v>120</v>
      </c>
      <c r="B515" s="1" t="s">
        <v>1</v>
      </c>
      <c r="C515" s="2" t="s">
        <v>668</v>
      </c>
    </row>
    <row r="517" spans="1:3" s="7" customFormat="1" ht="15.75" x14ac:dyDescent="0.3">
      <c r="A517" s="5" t="s">
        <v>407</v>
      </c>
      <c r="B517" s="5"/>
      <c r="C517" s="6"/>
    </row>
    <row r="518" spans="1:3" x14ac:dyDescent="0.25">
      <c r="A518" s="4" t="s">
        <v>154</v>
      </c>
      <c r="B518" s="1" t="s">
        <v>1</v>
      </c>
      <c r="C518" s="2" t="s">
        <v>192</v>
      </c>
    </row>
    <row r="519" spans="1:3" x14ac:dyDescent="0.25">
      <c r="A519" s="4" t="s">
        <v>152</v>
      </c>
      <c r="B519" s="1" t="s">
        <v>1</v>
      </c>
      <c r="C519" s="2">
        <v>1</v>
      </c>
    </row>
    <row r="520" spans="1:3" x14ac:dyDescent="0.25">
      <c r="A520" s="4" t="s">
        <v>151</v>
      </c>
      <c r="B520" s="1" t="s">
        <v>1</v>
      </c>
      <c r="C520" s="2">
        <v>1</v>
      </c>
    </row>
    <row r="521" spans="1:3" x14ac:dyDescent="0.25">
      <c r="A521" s="4" t="s">
        <v>150</v>
      </c>
      <c r="B521" s="1" t="s">
        <v>1</v>
      </c>
      <c r="C521" s="2" t="s">
        <v>408</v>
      </c>
    </row>
    <row r="522" spans="1:3" x14ac:dyDescent="0.25">
      <c r="A522" s="4" t="s">
        <v>120</v>
      </c>
      <c r="B522" s="1" t="s">
        <v>1</v>
      </c>
      <c r="C522" s="2" t="s">
        <v>409</v>
      </c>
    </row>
    <row r="524" spans="1:3" s="7" customFormat="1" ht="15.75" x14ac:dyDescent="0.3">
      <c r="A524" s="5" t="s">
        <v>410</v>
      </c>
      <c r="B524" s="5"/>
      <c r="C524" s="6"/>
    </row>
    <row r="525" spans="1:3" x14ac:dyDescent="0.25">
      <c r="A525" s="4" t="s">
        <v>154</v>
      </c>
      <c r="B525" s="1" t="s">
        <v>1</v>
      </c>
      <c r="C525" s="2" t="s">
        <v>192</v>
      </c>
    </row>
    <row r="526" spans="1:3" x14ac:dyDescent="0.25">
      <c r="A526" s="4" t="s">
        <v>152</v>
      </c>
      <c r="B526" s="1" t="s">
        <v>1</v>
      </c>
      <c r="C526" s="2">
        <v>0</v>
      </c>
    </row>
    <row r="527" spans="1:3" x14ac:dyDescent="0.25">
      <c r="A527" s="4" t="s">
        <v>151</v>
      </c>
      <c r="B527" s="1" t="s">
        <v>1</v>
      </c>
      <c r="C527" s="2">
        <v>1</v>
      </c>
    </row>
    <row r="528" spans="1:3" x14ac:dyDescent="0.25">
      <c r="A528" s="4" t="s">
        <v>150</v>
      </c>
      <c r="B528" s="1" t="s">
        <v>1</v>
      </c>
      <c r="C528" s="2" t="s">
        <v>192</v>
      </c>
    </row>
    <row r="529" spans="1:3" x14ac:dyDescent="0.25">
      <c r="A529" s="4" t="s">
        <v>120</v>
      </c>
      <c r="B529" s="1" t="s">
        <v>1</v>
      </c>
      <c r="C529" s="2" t="s">
        <v>411</v>
      </c>
    </row>
    <row r="531" spans="1:3" s="7" customFormat="1" ht="15.75" x14ac:dyDescent="0.3">
      <c r="A531" s="5" t="s">
        <v>1067</v>
      </c>
      <c r="B531" s="5"/>
      <c r="C531" s="6"/>
    </row>
    <row r="532" spans="1:3" x14ac:dyDescent="0.25">
      <c r="A532" s="4" t="s">
        <v>154</v>
      </c>
      <c r="B532" s="1" t="s">
        <v>1</v>
      </c>
      <c r="C532" s="2" t="s">
        <v>192</v>
      </c>
    </row>
    <row r="533" spans="1:3" x14ac:dyDescent="0.25">
      <c r="A533" s="4" t="s">
        <v>152</v>
      </c>
      <c r="B533" s="1" t="s">
        <v>1</v>
      </c>
      <c r="C533" s="2">
        <v>0</v>
      </c>
    </row>
    <row r="534" spans="1:3" x14ac:dyDescent="0.25">
      <c r="A534" s="4" t="s">
        <v>151</v>
      </c>
      <c r="B534" s="1" t="s">
        <v>1</v>
      </c>
      <c r="C534" s="2">
        <v>1</v>
      </c>
    </row>
    <row r="535" spans="1:3" x14ac:dyDescent="0.25">
      <c r="A535" s="4" t="s">
        <v>150</v>
      </c>
      <c r="B535" s="1" t="s">
        <v>1</v>
      </c>
      <c r="C535" s="2" t="s">
        <v>192</v>
      </c>
    </row>
    <row r="536" spans="1:3" x14ac:dyDescent="0.25">
      <c r="A536" s="4" t="s">
        <v>120</v>
      </c>
      <c r="B536" s="1" t="s">
        <v>1</v>
      </c>
      <c r="C536" s="2" t="s">
        <v>1068</v>
      </c>
    </row>
    <row r="538" spans="1:3" s="7" customFormat="1" ht="15.75" x14ac:dyDescent="0.3">
      <c r="A538" s="5" t="s">
        <v>412</v>
      </c>
      <c r="B538" s="5"/>
      <c r="C538" s="6"/>
    </row>
    <row r="539" spans="1:3" x14ac:dyDescent="0.25">
      <c r="A539" s="4" t="s">
        <v>154</v>
      </c>
      <c r="B539" s="1" t="s">
        <v>1</v>
      </c>
      <c r="C539" s="2" t="s">
        <v>413</v>
      </c>
    </row>
    <row r="540" spans="1:3" x14ac:dyDescent="0.25">
      <c r="A540" s="4" t="s">
        <v>152</v>
      </c>
      <c r="B540" s="1" t="s">
        <v>1</v>
      </c>
      <c r="C540" s="2">
        <v>3</v>
      </c>
    </row>
    <row r="541" spans="1:3" x14ac:dyDescent="0.25">
      <c r="A541" s="4" t="s">
        <v>151</v>
      </c>
      <c r="B541" s="1" t="s">
        <v>1</v>
      </c>
      <c r="C541" s="2">
        <v>2</v>
      </c>
    </row>
    <row r="542" spans="1:3" x14ac:dyDescent="0.25">
      <c r="A542" s="4" t="s">
        <v>150</v>
      </c>
      <c r="B542" s="1" t="s">
        <v>1</v>
      </c>
      <c r="C542" s="2" t="s">
        <v>414</v>
      </c>
    </row>
    <row r="543" spans="1:3" x14ac:dyDescent="0.25">
      <c r="A543" s="4" t="s">
        <v>149</v>
      </c>
      <c r="B543" s="1" t="s">
        <v>1</v>
      </c>
      <c r="C543" s="2" t="s">
        <v>415</v>
      </c>
    </row>
    <row r="544" spans="1:3" x14ac:dyDescent="0.25">
      <c r="A544" s="4" t="s">
        <v>120</v>
      </c>
      <c r="B544" s="1" t="s">
        <v>1</v>
      </c>
      <c r="C544" s="2" t="s">
        <v>850</v>
      </c>
    </row>
    <row r="545" spans="1:3" x14ac:dyDescent="0.25">
      <c r="A545" s="4" t="s">
        <v>119</v>
      </c>
      <c r="B545" s="1" t="s">
        <v>1</v>
      </c>
      <c r="C545" s="2" t="s">
        <v>416</v>
      </c>
    </row>
    <row r="547" spans="1:3" s="7" customFormat="1" ht="15.75" x14ac:dyDescent="0.3">
      <c r="A547" s="5" t="s">
        <v>417</v>
      </c>
      <c r="B547" s="5"/>
      <c r="C547" s="6"/>
    </row>
    <row r="548" spans="1:3" x14ac:dyDescent="0.25">
      <c r="A548" s="4" t="s">
        <v>154</v>
      </c>
      <c r="B548" s="1" t="s">
        <v>1</v>
      </c>
      <c r="C548" s="2" t="s">
        <v>192</v>
      </c>
    </row>
    <row r="549" spans="1:3" x14ac:dyDescent="0.25">
      <c r="A549" s="4" t="s">
        <v>152</v>
      </c>
      <c r="B549" s="1" t="s">
        <v>1</v>
      </c>
      <c r="C549" s="2">
        <v>2</v>
      </c>
    </row>
    <row r="550" spans="1:3" x14ac:dyDescent="0.25">
      <c r="A550" s="4" t="s">
        <v>151</v>
      </c>
      <c r="B550" s="1" t="s">
        <v>1</v>
      </c>
      <c r="C550" s="2">
        <v>1</v>
      </c>
    </row>
    <row r="551" spans="1:3" x14ac:dyDescent="0.25">
      <c r="A551" s="4" t="s">
        <v>150</v>
      </c>
      <c r="B551" s="1" t="s">
        <v>1</v>
      </c>
      <c r="C551" s="2" t="s">
        <v>418</v>
      </c>
    </row>
    <row r="552" spans="1:3" x14ac:dyDescent="0.25">
      <c r="A552" s="4" t="s">
        <v>120</v>
      </c>
      <c r="B552" s="1" t="s">
        <v>1</v>
      </c>
      <c r="C552" s="2" t="s">
        <v>419</v>
      </c>
    </row>
    <row r="554" spans="1:3" s="7" customFormat="1" ht="15.75" x14ac:dyDescent="0.3">
      <c r="A554" s="5" t="s">
        <v>1070</v>
      </c>
      <c r="B554" s="5"/>
      <c r="C554" s="6"/>
    </row>
    <row r="555" spans="1:3" x14ac:dyDescent="0.25">
      <c r="A555" s="4" t="s">
        <v>154</v>
      </c>
      <c r="B555" s="1" t="s">
        <v>1</v>
      </c>
      <c r="C555" s="2" t="s">
        <v>192</v>
      </c>
    </row>
    <row r="556" spans="1:3" x14ac:dyDescent="0.25">
      <c r="A556" s="4" t="s">
        <v>152</v>
      </c>
      <c r="B556" s="1" t="s">
        <v>1</v>
      </c>
      <c r="C556" s="2">
        <v>2</v>
      </c>
    </row>
    <row r="557" spans="1:3" x14ac:dyDescent="0.25">
      <c r="A557" s="4" t="s">
        <v>151</v>
      </c>
      <c r="B557" s="1" t="s">
        <v>1</v>
      </c>
      <c r="C557" s="2">
        <v>1</v>
      </c>
    </row>
    <row r="558" spans="1:3" x14ac:dyDescent="0.25">
      <c r="A558" s="4" t="s">
        <v>150</v>
      </c>
      <c r="B558" s="1" t="s">
        <v>1</v>
      </c>
      <c r="C558" s="2" t="s">
        <v>418</v>
      </c>
    </row>
    <row r="559" spans="1:3" x14ac:dyDescent="0.25">
      <c r="A559" s="4" t="s">
        <v>120</v>
      </c>
      <c r="B559" s="1" t="s">
        <v>1</v>
      </c>
      <c r="C559" s="2" t="s">
        <v>1071</v>
      </c>
    </row>
    <row r="561" spans="1:3" s="7" customFormat="1" ht="15.75" x14ac:dyDescent="0.3">
      <c r="A561" s="5" t="s">
        <v>420</v>
      </c>
      <c r="B561" s="5"/>
      <c r="C561" s="6"/>
    </row>
    <row r="562" spans="1:3" x14ac:dyDescent="0.25">
      <c r="A562" s="4" t="s">
        <v>154</v>
      </c>
      <c r="B562" s="1" t="s">
        <v>1</v>
      </c>
      <c r="C562" s="2" t="s">
        <v>192</v>
      </c>
    </row>
    <row r="563" spans="1:3" x14ac:dyDescent="0.25">
      <c r="A563" s="4" t="s">
        <v>152</v>
      </c>
      <c r="B563" s="1" t="s">
        <v>1</v>
      </c>
      <c r="C563" s="2">
        <v>2</v>
      </c>
    </row>
    <row r="564" spans="1:3" x14ac:dyDescent="0.25">
      <c r="A564" s="4" t="s">
        <v>151</v>
      </c>
      <c r="B564" s="1" t="s">
        <v>1</v>
      </c>
      <c r="C564" s="2">
        <v>2</v>
      </c>
    </row>
    <row r="565" spans="1:3" x14ac:dyDescent="0.25">
      <c r="A565" s="4" t="s">
        <v>150</v>
      </c>
      <c r="B565" s="1" t="s">
        <v>1</v>
      </c>
      <c r="C565" s="2" t="s">
        <v>399</v>
      </c>
    </row>
    <row r="566" spans="1:3" x14ac:dyDescent="0.25">
      <c r="A566" s="4" t="s">
        <v>120</v>
      </c>
      <c r="B566" s="1" t="s">
        <v>1</v>
      </c>
      <c r="C566" s="2" t="s">
        <v>421</v>
      </c>
    </row>
    <row r="568" spans="1:3" s="7" customFormat="1" ht="15.75" x14ac:dyDescent="0.3">
      <c r="A568" s="5" t="s">
        <v>1072</v>
      </c>
      <c r="B568" s="5"/>
      <c r="C568" s="6"/>
    </row>
    <row r="569" spans="1:3" x14ac:dyDescent="0.25">
      <c r="A569" s="4" t="s">
        <v>154</v>
      </c>
      <c r="B569" s="1" t="s">
        <v>1</v>
      </c>
      <c r="C569" s="2" t="s">
        <v>192</v>
      </c>
    </row>
    <row r="570" spans="1:3" x14ac:dyDescent="0.25">
      <c r="A570" s="4" t="s">
        <v>152</v>
      </c>
      <c r="B570" s="1" t="s">
        <v>1</v>
      </c>
      <c r="C570" s="2">
        <v>2</v>
      </c>
    </row>
    <row r="571" spans="1:3" x14ac:dyDescent="0.25">
      <c r="A571" s="4" t="s">
        <v>151</v>
      </c>
      <c r="B571" s="1" t="s">
        <v>1</v>
      </c>
      <c r="C571" s="2">
        <v>2</v>
      </c>
    </row>
    <row r="572" spans="1:3" x14ac:dyDescent="0.25">
      <c r="A572" s="4" t="s">
        <v>150</v>
      </c>
      <c r="B572" s="1" t="s">
        <v>1</v>
      </c>
      <c r="C572" s="2" t="s">
        <v>399</v>
      </c>
    </row>
    <row r="573" spans="1:3" x14ac:dyDescent="0.25">
      <c r="A573" s="4" t="s">
        <v>120</v>
      </c>
      <c r="B573" s="1" t="s">
        <v>1</v>
      </c>
      <c r="C573" s="2" t="s">
        <v>1073</v>
      </c>
    </row>
    <row r="575" spans="1:3" s="7" customFormat="1" ht="15.75" x14ac:dyDescent="0.3">
      <c r="A575" s="5" t="s">
        <v>422</v>
      </c>
      <c r="B575" s="5"/>
      <c r="C575" s="6"/>
    </row>
    <row r="576" spans="1:3" x14ac:dyDescent="0.25">
      <c r="A576" s="4" t="s">
        <v>154</v>
      </c>
      <c r="B576" s="1" t="s">
        <v>1</v>
      </c>
      <c r="C576" s="2" t="s">
        <v>192</v>
      </c>
    </row>
    <row r="577" spans="1:3" x14ac:dyDescent="0.25">
      <c r="A577" s="4" t="s">
        <v>152</v>
      </c>
      <c r="B577" s="1" t="s">
        <v>1</v>
      </c>
      <c r="C577" s="2">
        <v>2</v>
      </c>
    </row>
    <row r="578" spans="1:3" x14ac:dyDescent="0.25">
      <c r="A578" s="4" t="s">
        <v>151</v>
      </c>
      <c r="B578" s="1" t="s">
        <v>1</v>
      </c>
      <c r="C578" s="2">
        <v>1</v>
      </c>
    </row>
    <row r="579" spans="1:3" x14ac:dyDescent="0.25">
      <c r="A579" s="4" t="s">
        <v>150</v>
      </c>
      <c r="B579" s="1" t="s">
        <v>1</v>
      </c>
      <c r="C579" s="2" t="s">
        <v>192</v>
      </c>
    </row>
    <row r="580" spans="1:3" x14ac:dyDescent="0.25">
      <c r="A580" s="4" t="s">
        <v>120</v>
      </c>
      <c r="B580" s="1" t="s">
        <v>1</v>
      </c>
      <c r="C580" s="2" t="s">
        <v>423</v>
      </c>
    </row>
    <row r="582" spans="1:3" s="7" customFormat="1" ht="15.75" x14ac:dyDescent="0.3">
      <c r="A582" s="5" t="s">
        <v>1074</v>
      </c>
      <c r="B582" s="5"/>
      <c r="C582" s="6"/>
    </row>
    <row r="583" spans="1:3" x14ac:dyDescent="0.25">
      <c r="A583" s="4" t="s">
        <v>154</v>
      </c>
      <c r="B583" s="1" t="s">
        <v>1</v>
      </c>
      <c r="C583" s="2" t="s">
        <v>192</v>
      </c>
    </row>
    <row r="584" spans="1:3" x14ac:dyDescent="0.25">
      <c r="A584" s="4" t="s">
        <v>152</v>
      </c>
      <c r="B584" s="1" t="s">
        <v>1</v>
      </c>
      <c r="C584" s="2">
        <v>2</v>
      </c>
    </row>
    <row r="585" spans="1:3" x14ac:dyDescent="0.25">
      <c r="A585" s="4" t="s">
        <v>151</v>
      </c>
      <c r="B585" s="1" t="s">
        <v>1</v>
      </c>
      <c r="C585" s="2">
        <v>1</v>
      </c>
    </row>
    <row r="586" spans="1:3" x14ac:dyDescent="0.25">
      <c r="A586" s="4" t="s">
        <v>150</v>
      </c>
      <c r="B586" s="1" t="s">
        <v>1</v>
      </c>
      <c r="C586" s="2" t="s">
        <v>192</v>
      </c>
    </row>
    <row r="587" spans="1:3" x14ac:dyDescent="0.25">
      <c r="A587" s="4" t="s">
        <v>120</v>
      </c>
      <c r="B587" s="1" t="s">
        <v>1</v>
      </c>
      <c r="C587" s="2" t="s">
        <v>1075</v>
      </c>
    </row>
    <row r="589" spans="1:3" s="7" customFormat="1" ht="15.75" x14ac:dyDescent="0.3">
      <c r="A589" s="5" t="s">
        <v>424</v>
      </c>
      <c r="B589" s="5"/>
      <c r="C589" s="6"/>
    </row>
    <row r="590" spans="1:3" x14ac:dyDescent="0.25">
      <c r="A590" s="4" t="s">
        <v>154</v>
      </c>
      <c r="B590" s="1" t="s">
        <v>1</v>
      </c>
      <c r="C590" s="2" t="s">
        <v>192</v>
      </c>
    </row>
    <row r="591" spans="1:3" x14ac:dyDescent="0.25">
      <c r="A591" s="4" t="s">
        <v>152</v>
      </c>
      <c r="B591" s="1" t="s">
        <v>1</v>
      </c>
      <c r="C591" s="2">
        <v>1</v>
      </c>
    </row>
    <row r="592" spans="1:3" x14ac:dyDescent="0.25">
      <c r="A592" s="4" t="s">
        <v>151</v>
      </c>
      <c r="B592" s="1" t="s">
        <v>1</v>
      </c>
      <c r="C592" s="2">
        <v>1</v>
      </c>
    </row>
    <row r="593" spans="1:3" x14ac:dyDescent="0.25">
      <c r="A593" s="4" t="s">
        <v>150</v>
      </c>
      <c r="B593" s="1" t="s">
        <v>1</v>
      </c>
      <c r="C593" s="2" t="s">
        <v>425</v>
      </c>
    </row>
    <row r="594" spans="1:3" x14ac:dyDescent="0.25">
      <c r="A594" s="4" t="s">
        <v>120</v>
      </c>
      <c r="B594" s="1" t="s">
        <v>1</v>
      </c>
      <c r="C594" s="2" t="s">
        <v>669</v>
      </c>
    </row>
    <row r="596" spans="1:3" s="7" customFormat="1" ht="15.75" x14ac:dyDescent="0.3">
      <c r="A596" s="5" t="s">
        <v>426</v>
      </c>
      <c r="B596" s="5"/>
      <c r="C596" s="6"/>
    </row>
    <row r="597" spans="1:3" x14ac:dyDescent="0.25">
      <c r="A597" s="4" t="s">
        <v>154</v>
      </c>
      <c r="B597" s="1" t="s">
        <v>1</v>
      </c>
      <c r="C597" s="2" t="s">
        <v>192</v>
      </c>
    </row>
    <row r="598" spans="1:3" x14ac:dyDescent="0.25">
      <c r="A598" s="4" t="s">
        <v>152</v>
      </c>
      <c r="B598" s="1" t="s">
        <v>1</v>
      </c>
      <c r="C598" s="2">
        <v>1</v>
      </c>
    </row>
    <row r="599" spans="1:3" x14ac:dyDescent="0.25">
      <c r="A599" s="4" t="s">
        <v>151</v>
      </c>
      <c r="B599" s="1" t="s">
        <v>1</v>
      </c>
      <c r="C599" s="2">
        <v>1</v>
      </c>
    </row>
    <row r="600" spans="1:3" x14ac:dyDescent="0.25">
      <c r="A600" s="4" t="s">
        <v>150</v>
      </c>
      <c r="B600" s="1" t="s">
        <v>1</v>
      </c>
      <c r="C600" s="2" t="s">
        <v>427</v>
      </c>
    </row>
    <row r="601" spans="1:3" x14ac:dyDescent="0.25">
      <c r="A601" s="4" t="s">
        <v>120</v>
      </c>
      <c r="B601" s="1" t="s">
        <v>1</v>
      </c>
      <c r="C601" s="2" t="s">
        <v>670</v>
      </c>
    </row>
    <row r="603" spans="1:3" s="7" customFormat="1" ht="15.75" x14ac:dyDescent="0.3">
      <c r="A603" s="5" t="s">
        <v>428</v>
      </c>
      <c r="B603" s="5"/>
      <c r="C603" s="6"/>
    </row>
    <row r="604" spans="1:3" x14ac:dyDescent="0.25">
      <c r="A604" s="4" t="s">
        <v>154</v>
      </c>
      <c r="B604" s="1" t="s">
        <v>1</v>
      </c>
      <c r="C604" s="2" t="s">
        <v>192</v>
      </c>
    </row>
    <row r="605" spans="1:3" x14ac:dyDescent="0.25">
      <c r="A605" s="4" t="s">
        <v>152</v>
      </c>
      <c r="B605" s="1" t="s">
        <v>1</v>
      </c>
      <c r="C605" s="2">
        <v>1</v>
      </c>
    </row>
    <row r="606" spans="1:3" x14ac:dyDescent="0.25">
      <c r="A606" s="4" t="s">
        <v>151</v>
      </c>
      <c r="B606" s="1" t="s">
        <v>1</v>
      </c>
      <c r="C606" s="2">
        <v>1</v>
      </c>
    </row>
    <row r="607" spans="1:3" x14ac:dyDescent="0.25">
      <c r="A607" s="4" t="s">
        <v>150</v>
      </c>
      <c r="B607" s="1" t="s">
        <v>1</v>
      </c>
      <c r="C607" s="2" t="s">
        <v>408</v>
      </c>
    </row>
    <row r="608" spans="1:3" x14ac:dyDescent="0.25">
      <c r="A608" s="4" t="s">
        <v>120</v>
      </c>
      <c r="B608" s="1" t="s">
        <v>1</v>
      </c>
      <c r="C608" s="2" t="s">
        <v>409</v>
      </c>
    </row>
    <row r="610" spans="1:3" s="7" customFormat="1" ht="15.75" x14ac:dyDescent="0.3">
      <c r="A610" s="5" t="s">
        <v>429</v>
      </c>
      <c r="B610" s="5"/>
      <c r="C610" s="6"/>
    </row>
    <row r="611" spans="1:3" x14ac:dyDescent="0.25">
      <c r="A611" s="4" t="s">
        <v>154</v>
      </c>
      <c r="B611" s="1" t="s">
        <v>1</v>
      </c>
      <c r="C611" s="2" t="s">
        <v>192</v>
      </c>
    </row>
    <row r="612" spans="1:3" x14ac:dyDescent="0.25">
      <c r="A612" s="4" t="s">
        <v>152</v>
      </c>
      <c r="B612" s="1" t="s">
        <v>1</v>
      </c>
      <c r="C612" s="2">
        <v>0</v>
      </c>
    </row>
    <row r="613" spans="1:3" x14ac:dyDescent="0.25">
      <c r="A613" s="4" t="s">
        <v>151</v>
      </c>
      <c r="B613" s="1" t="s">
        <v>1</v>
      </c>
      <c r="C613" s="2">
        <v>1</v>
      </c>
    </row>
    <row r="614" spans="1:3" x14ac:dyDescent="0.25">
      <c r="A614" s="4" t="s">
        <v>150</v>
      </c>
      <c r="B614" s="1" t="s">
        <v>1</v>
      </c>
      <c r="C614" s="2" t="s">
        <v>192</v>
      </c>
    </row>
    <row r="615" spans="1:3" x14ac:dyDescent="0.25">
      <c r="A615" s="4" t="s">
        <v>120</v>
      </c>
      <c r="B615" s="1" t="s">
        <v>1</v>
      </c>
      <c r="C615" s="2" t="s">
        <v>430</v>
      </c>
    </row>
    <row r="617" spans="1:3" s="7" customFormat="1" ht="15.75" x14ac:dyDescent="0.3">
      <c r="A617" s="5" t="s">
        <v>1076</v>
      </c>
      <c r="B617" s="5"/>
      <c r="C617" s="6"/>
    </row>
    <row r="618" spans="1:3" x14ac:dyDescent="0.25">
      <c r="A618" s="4" t="s">
        <v>154</v>
      </c>
      <c r="B618" s="1" t="s">
        <v>1</v>
      </c>
      <c r="C618" s="2" t="s">
        <v>192</v>
      </c>
    </row>
    <row r="619" spans="1:3" x14ac:dyDescent="0.25">
      <c r="A619" s="4" t="s">
        <v>152</v>
      </c>
      <c r="B619" s="1" t="s">
        <v>1</v>
      </c>
      <c r="C619" s="2">
        <v>0</v>
      </c>
    </row>
    <row r="620" spans="1:3" x14ac:dyDescent="0.25">
      <c r="A620" s="4" t="s">
        <v>151</v>
      </c>
      <c r="B620" s="1" t="s">
        <v>1</v>
      </c>
      <c r="C620" s="2">
        <v>1</v>
      </c>
    </row>
    <row r="621" spans="1:3" x14ac:dyDescent="0.25">
      <c r="A621" s="4" t="s">
        <v>150</v>
      </c>
      <c r="B621" s="1" t="s">
        <v>1</v>
      </c>
      <c r="C621" s="2" t="s">
        <v>192</v>
      </c>
    </row>
    <row r="622" spans="1:3" x14ac:dyDescent="0.25">
      <c r="A622" s="4" t="s">
        <v>120</v>
      </c>
      <c r="B622" s="1" t="s">
        <v>1</v>
      </c>
      <c r="C622" s="2" t="s">
        <v>1077</v>
      </c>
    </row>
    <row r="624" spans="1:3" s="7" customFormat="1" ht="15.75" x14ac:dyDescent="0.3">
      <c r="A624" s="5" t="s">
        <v>431</v>
      </c>
      <c r="B624" s="5"/>
      <c r="C624" s="6"/>
    </row>
    <row r="625" spans="1:3" x14ac:dyDescent="0.25">
      <c r="A625" s="4" t="s">
        <v>154</v>
      </c>
      <c r="B625" s="1" t="s">
        <v>1</v>
      </c>
      <c r="C625" s="2" t="s">
        <v>432</v>
      </c>
    </row>
    <row r="626" spans="1:3" x14ac:dyDescent="0.25">
      <c r="A626" s="4" t="s">
        <v>152</v>
      </c>
      <c r="B626" s="1" t="s">
        <v>1</v>
      </c>
      <c r="C626" s="2">
        <v>2</v>
      </c>
    </row>
    <row r="627" spans="1:3" x14ac:dyDescent="0.25">
      <c r="A627" s="4" t="s">
        <v>151</v>
      </c>
      <c r="B627" s="1" t="s">
        <v>1</v>
      </c>
      <c r="C627" s="2">
        <v>2</v>
      </c>
    </row>
    <row r="628" spans="1:3" x14ac:dyDescent="0.25">
      <c r="A628" s="4" t="s">
        <v>150</v>
      </c>
      <c r="B628" s="1" t="s">
        <v>1</v>
      </c>
      <c r="C628" s="2" t="s">
        <v>365</v>
      </c>
    </row>
    <row r="629" spans="1:3" x14ac:dyDescent="0.25">
      <c r="A629" s="4" t="s">
        <v>149</v>
      </c>
      <c r="B629" s="1" t="s">
        <v>1</v>
      </c>
      <c r="C629" s="2" t="s">
        <v>366</v>
      </c>
    </row>
    <row r="630" spans="1:3" x14ac:dyDescent="0.25">
      <c r="A630" s="4" t="s">
        <v>120</v>
      </c>
      <c r="B630" s="1" t="s">
        <v>1</v>
      </c>
      <c r="C630" s="2" t="s">
        <v>831</v>
      </c>
    </row>
    <row r="631" spans="1:3" x14ac:dyDescent="0.25">
      <c r="A631" s="4" t="s">
        <v>119</v>
      </c>
      <c r="B631" s="1" t="s">
        <v>1</v>
      </c>
      <c r="C631" s="2" t="s">
        <v>433</v>
      </c>
    </row>
    <row r="633" spans="1:3" s="7" customFormat="1" ht="15.75" x14ac:dyDescent="0.3">
      <c r="A633" s="5" t="s">
        <v>633</v>
      </c>
      <c r="B633" s="5"/>
      <c r="C633" s="6"/>
    </row>
    <row r="634" spans="1:3" x14ac:dyDescent="0.25">
      <c r="A634" s="4" t="s">
        <v>154</v>
      </c>
      <c r="B634" s="1" t="s">
        <v>1</v>
      </c>
      <c r="C634" s="2" t="s">
        <v>628</v>
      </c>
    </row>
    <row r="635" spans="1:3" x14ac:dyDescent="0.25">
      <c r="A635" s="4" t="s">
        <v>152</v>
      </c>
      <c r="B635" s="1" t="s">
        <v>1</v>
      </c>
      <c r="C635" s="2">
        <v>4</v>
      </c>
    </row>
    <row r="636" spans="1:3" x14ac:dyDescent="0.25">
      <c r="A636" s="4" t="s">
        <v>151</v>
      </c>
      <c r="B636" s="1" t="s">
        <v>1</v>
      </c>
      <c r="C636" s="2">
        <v>4</v>
      </c>
    </row>
    <row r="637" spans="1:3" x14ac:dyDescent="0.25">
      <c r="A637" s="4" t="s">
        <v>150</v>
      </c>
      <c r="B637" s="1" t="s">
        <v>1</v>
      </c>
      <c r="C637" s="2" t="s">
        <v>629</v>
      </c>
    </row>
    <row r="638" spans="1:3" x14ac:dyDescent="0.25">
      <c r="A638" s="4" t="s">
        <v>149</v>
      </c>
      <c r="B638" s="1" t="s">
        <v>1</v>
      </c>
      <c r="C638" s="2" t="s">
        <v>632</v>
      </c>
    </row>
    <row r="639" spans="1:3" x14ac:dyDescent="0.25">
      <c r="A639" s="4" t="s">
        <v>148</v>
      </c>
      <c r="B639" s="1" t="s">
        <v>1</v>
      </c>
      <c r="C639" s="2" t="s">
        <v>631</v>
      </c>
    </row>
    <row r="640" spans="1:3" x14ac:dyDescent="0.25">
      <c r="A640" s="4" t="s">
        <v>147</v>
      </c>
      <c r="B640" s="1" t="s">
        <v>1</v>
      </c>
      <c r="C640" s="2" t="s">
        <v>630</v>
      </c>
    </row>
    <row r="641" spans="1:3" x14ac:dyDescent="0.25">
      <c r="A641" s="4" t="s">
        <v>120</v>
      </c>
      <c r="B641" s="1" t="s">
        <v>1</v>
      </c>
      <c r="C641" s="2" t="s">
        <v>831</v>
      </c>
    </row>
    <row r="642" spans="1:3" x14ac:dyDescent="0.25">
      <c r="A642" s="4" t="s">
        <v>119</v>
      </c>
      <c r="B642" s="1" t="s">
        <v>1</v>
      </c>
      <c r="C642" s="2" t="s">
        <v>671</v>
      </c>
    </row>
    <row r="643" spans="1:3" x14ac:dyDescent="0.25">
      <c r="A643" s="4" t="s">
        <v>118</v>
      </c>
      <c r="B643" s="1" t="s">
        <v>1</v>
      </c>
      <c r="C643" s="2" t="s">
        <v>833</v>
      </c>
    </row>
    <row r="644" spans="1:3" x14ac:dyDescent="0.25">
      <c r="A644" s="4" t="s">
        <v>117</v>
      </c>
      <c r="B644" s="1" t="s">
        <v>1</v>
      </c>
      <c r="C644" s="2" t="s">
        <v>433</v>
      </c>
    </row>
    <row r="647" spans="1:3" s="7" customFormat="1" ht="15.75" x14ac:dyDescent="0.3">
      <c r="A647" s="5" t="s">
        <v>434</v>
      </c>
      <c r="B647" s="5"/>
      <c r="C647" s="6"/>
    </row>
    <row r="648" spans="1:3" x14ac:dyDescent="0.25">
      <c r="A648" s="4" t="s">
        <v>154</v>
      </c>
      <c r="B648" s="1" t="s">
        <v>1</v>
      </c>
      <c r="C648" s="2" t="s">
        <v>192</v>
      </c>
    </row>
    <row r="649" spans="1:3" x14ac:dyDescent="0.25">
      <c r="A649" s="4" t="s">
        <v>152</v>
      </c>
      <c r="B649" s="1" t="s">
        <v>1</v>
      </c>
      <c r="C649" s="2">
        <v>2</v>
      </c>
    </row>
    <row r="650" spans="1:3" x14ac:dyDescent="0.25">
      <c r="A650" s="4" t="s">
        <v>151</v>
      </c>
      <c r="B650" s="1" t="s">
        <v>1</v>
      </c>
      <c r="C650" s="2">
        <v>2</v>
      </c>
    </row>
    <row r="651" spans="1:3" x14ac:dyDescent="0.25">
      <c r="A651" s="4" t="s">
        <v>150</v>
      </c>
      <c r="B651" s="1" t="s">
        <v>1</v>
      </c>
      <c r="C651" s="2" t="s">
        <v>435</v>
      </c>
    </row>
    <row r="652" spans="1:3" x14ac:dyDescent="0.25">
      <c r="A652" s="4" t="s">
        <v>149</v>
      </c>
      <c r="B652" s="1" t="s">
        <v>1</v>
      </c>
      <c r="C652" s="2" t="s">
        <v>436</v>
      </c>
    </row>
    <row r="653" spans="1:3" x14ac:dyDescent="0.25">
      <c r="A653" s="4" t="s">
        <v>120</v>
      </c>
      <c r="B653" s="1" t="s">
        <v>1</v>
      </c>
      <c r="C653" s="2" t="s">
        <v>832</v>
      </c>
    </row>
    <row r="654" spans="1:3" x14ac:dyDescent="0.25">
      <c r="A654" s="4" t="s">
        <v>119</v>
      </c>
      <c r="B654" s="1" t="s">
        <v>1</v>
      </c>
      <c r="C654" s="2" t="s">
        <v>437</v>
      </c>
    </row>
    <row r="656" spans="1:3" s="7" customFormat="1" ht="15.75" x14ac:dyDescent="0.3">
      <c r="A656" s="5" t="s">
        <v>438</v>
      </c>
      <c r="B656" s="5"/>
      <c r="C656" s="6"/>
    </row>
    <row r="657" spans="1:3" x14ac:dyDescent="0.25">
      <c r="A657" s="4" t="s">
        <v>154</v>
      </c>
      <c r="B657" s="1" t="s">
        <v>1</v>
      </c>
      <c r="C657" s="2" t="s">
        <v>192</v>
      </c>
    </row>
    <row r="658" spans="1:3" x14ac:dyDescent="0.25">
      <c r="A658" s="4" t="s">
        <v>152</v>
      </c>
      <c r="B658" s="1" t="s">
        <v>1</v>
      </c>
      <c r="C658" s="2">
        <v>2</v>
      </c>
    </row>
    <row r="659" spans="1:3" x14ac:dyDescent="0.25">
      <c r="A659" s="4" t="s">
        <v>151</v>
      </c>
      <c r="B659" s="1" t="s">
        <v>1</v>
      </c>
      <c r="C659" s="2">
        <v>2</v>
      </c>
    </row>
    <row r="660" spans="1:3" x14ac:dyDescent="0.25">
      <c r="A660" s="4" t="s">
        <v>150</v>
      </c>
      <c r="B660" s="1" t="s">
        <v>1</v>
      </c>
      <c r="C660" s="2" t="s">
        <v>439</v>
      </c>
    </row>
    <row r="661" spans="1:3" x14ac:dyDescent="0.25">
      <c r="A661" s="4" t="s">
        <v>149</v>
      </c>
      <c r="B661" s="1" t="s">
        <v>1</v>
      </c>
      <c r="C661" s="2" t="s">
        <v>440</v>
      </c>
    </row>
    <row r="662" spans="1:3" x14ac:dyDescent="0.25">
      <c r="A662" s="4" t="s">
        <v>120</v>
      </c>
      <c r="B662" s="1" t="s">
        <v>1</v>
      </c>
      <c r="C662" s="2" t="s">
        <v>672</v>
      </c>
    </row>
    <row r="663" spans="1:3" x14ac:dyDescent="0.25">
      <c r="A663" s="4" t="s">
        <v>119</v>
      </c>
      <c r="B663" s="1" t="s">
        <v>1</v>
      </c>
      <c r="C663" s="2" t="s">
        <v>441</v>
      </c>
    </row>
    <row r="665" spans="1:3" s="7" customFormat="1" ht="15.75" x14ac:dyDescent="0.3">
      <c r="A665" s="5" t="s">
        <v>442</v>
      </c>
      <c r="B665" s="5"/>
      <c r="C665" s="6"/>
    </row>
    <row r="666" spans="1:3" x14ac:dyDescent="0.25">
      <c r="A666" s="4" t="s">
        <v>154</v>
      </c>
      <c r="B666" s="1" t="s">
        <v>1</v>
      </c>
      <c r="C666" s="2" t="s">
        <v>192</v>
      </c>
    </row>
    <row r="667" spans="1:3" x14ac:dyDescent="0.25">
      <c r="A667" s="4" t="s">
        <v>152</v>
      </c>
      <c r="B667" s="1" t="s">
        <v>1</v>
      </c>
      <c r="C667" s="2">
        <v>2</v>
      </c>
    </row>
    <row r="668" spans="1:3" x14ac:dyDescent="0.25">
      <c r="A668" s="4" t="s">
        <v>151</v>
      </c>
      <c r="B668" s="1" t="s">
        <v>1</v>
      </c>
      <c r="C668" s="2">
        <v>2</v>
      </c>
    </row>
    <row r="669" spans="1:3" x14ac:dyDescent="0.25">
      <c r="A669" s="4" t="s">
        <v>150</v>
      </c>
      <c r="B669" s="1" t="s">
        <v>1</v>
      </c>
      <c r="C669" s="2" t="s">
        <v>443</v>
      </c>
    </row>
    <row r="670" spans="1:3" x14ac:dyDescent="0.25">
      <c r="A670" s="4" t="s">
        <v>149</v>
      </c>
      <c r="B670" s="1" t="s">
        <v>1</v>
      </c>
      <c r="C670" s="2" t="s">
        <v>444</v>
      </c>
    </row>
    <row r="671" spans="1:3" x14ac:dyDescent="0.25">
      <c r="A671" s="4" t="s">
        <v>120</v>
      </c>
      <c r="B671" s="1" t="s">
        <v>1</v>
      </c>
      <c r="C671" s="2" t="s">
        <v>856</v>
      </c>
    </row>
    <row r="672" spans="1:3" x14ac:dyDescent="0.25">
      <c r="A672" s="4" t="s">
        <v>119</v>
      </c>
      <c r="B672" s="1" t="s">
        <v>1</v>
      </c>
      <c r="C672" s="2" t="s">
        <v>445</v>
      </c>
    </row>
    <row r="674" spans="1:3" s="7" customFormat="1" ht="15.75" x14ac:dyDescent="0.3">
      <c r="A674" s="5" t="s">
        <v>446</v>
      </c>
      <c r="B674" s="5"/>
      <c r="C674" s="6"/>
    </row>
    <row r="675" spans="1:3" x14ac:dyDescent="0.25">
      <c r="A675" s="4" t="s">
        <v>154</v>
      </c>
      <c r="B675" s="1" t="s">
        <v>1</v>
      </c>
      <c r="C675" s="2" t="s">
        <v>192</v>
      </c>
    </row>
    <row r="676" spans="1:3" x14ac:dyDescent="0.25">
      <c r="A676" s="4" t="s">
        <v>152</v>
      </c>
      <c r="B676" s="1" t="s">
        <v>1</v>
      </c>
      <c r="C676" s="2">
        <v>2</v>
      </c>
    </row>
    <row r="677" spans="1:3" x14ac:dyDescent="0.25">
      <c r="A677" s="4" t="s">
        <v>151</v>
      </c>
      <c r="B677" s="1" t="s">
        <v>1</v>
      </c>
      <c r="C677" s="2">
        <v>2</v>
      </c>
    </row>
    <row r="678" spans="1:3" x14ac:dyDescent="0.25">
      <c r="A678" s="4" t="s">
        <v>150</v>
      </c>
      <c r="B678" s="1" t="s">
        <v>1</v>
      </c>
      <c r="C678" s="2" t="s">
        <v>447</v>
      </c>
    </row>
    <row r="679" spans="1:3" x14ac:dyDescent="0.25">
      <c r="A679" s="4" t="s">
        <v>149</v>
      </c>
      <c r="B679" s="1" t="s">
        <v>1</v>
      </c>
      <c r="C679" s="2" t="s">
        <v>638</v>
      </c>
    </row>
    <row r="680" spans="1:3" x14ac:dyDescent="0.25">
      <c r="A680" s="4" t="s">
        <v>120</v>
      </c>
      <c r="B680" s="1" t="s">
        <v>1</v>
      </c>
      <c r="C680" s="2" t="s">
        <v>870</v>
      </c>
    </row>
    <row r="681" spans="1:3" x14ac:dyDescent="0.25">
      <c r="A681" s="4" t="s">
        <v>119</v>
      </c>
      <c r="B681" s="1" t="s">
        <v>1</v>
      </c>
      <c r="C681" s="2" t="s">
        <v>448</v>
      </c>
    </row>
    <row r="683" spans="1:3" s="7" customFormat="1" ht="15.75" x14ac:dyDescent="0.3">
      <c r="A683" s="5" t="s">
        <v>449</v>
      </c>
      <c r="B683" s="5"/>
      <c r="C683" s="6"/>
    </row>
    <row r="684" spans="1:3" x14ac:dyDescent="0.25">
      <c r="A684" s="4" t="s">
        <v>154</v>
      </c>
      <c r="B684" s="1" t="s">
        <v>1</v>
      </c>
      <c r="C684" s="2" t="s">
        <v>192</v>
      </c>
    </row>
    <row r="685" spans="1:3" x14ac:dyDescent="0.25">
      <c r="A685" s="4" t="s">
        <v>152</v>
      </c>
      <c r="B685" s="1" t="s">
        <v>1</v>
      </c>
      <c r="C685" s="2">
        <v>2</v>
      </c>
    </row>
    <row r="686" spans="1:3" x14ac:dyDescent="0.25">
      <c r="A686" s="4" t="s">
        <v>151</v>
      </c>
      <c r="B686" s="1" t="s">
        <v>1</v>
      </c>
      <c r="C686" s="2">
        <v>2</v>
      </c>
    </row>
    <row r="687" spans="1:3" x14ac:dyDescent="0.25">
      <c r="A687" s="4" t="s">
        <v>150</v>
      </c>
      <c r="B687" s="1" t="s">
        <v>1</v>
      </c>
      <c r="C687" s="2" t="s">
        <v>450</v>
      </c>
    </row>
    <row r="688" spans="1:3" x14ac:dyDescent="0.25">
      <c r="A688" s="4" t="s">
        <v>149</v>
      </c>
      <c r="B688" s="1" t="s">
        <v>1</v>
      </c>
      <c r="C688" s="2" t="s">
        <v>451</v>
      </c>
    </row>
    <row r="689" spans="1:3" x14ac:dyDescent="0.25">
      <c r="A689" s="4" t="s">
        <v>120</v>
      </c>
      <c r="B689" s="1" t="s">
        <v>1</v>
      </c>
      <c r="C689" s="2" t="s">
        <v>847</v>
      </c>
    </row>
    <row r="690" spans="1:3" x14ac:dyDescent="0.25">
      <c r="A690" s="4" t="s">
        <v>119</v>
      </c>
      <c r="B690" s="1" t="s">
        <v>1</v>
      </c>
      <c r="C690" s="2" t="s">
        <v>452</v>
      </c>
    </row>
    <row r="692" spans="1:3" s="7" customFormat="1" ht="15.75" x14ac:dyDescent="0.3">
      <c r="A692" s="5" t="s">
        <v>453</v>
      </c>
      <c r="B692" s="5"/>
      <c r="C692" s="6"/>
    </row>
    <row r="693" spans="1:3" x14ac:dyDescent="0.25">
      <c r="A693" s="4" t="s">
        <v>154</v>
      </c>
      <c r="B693" s="1" t="s">
        <v>1</v>
      </c>
      <c r="C693" s="2" t="s">
        <v>192</v>
      </c>
    </row>
    <row r="694" spans="1:3" x14ac:dyDescent="0.25">
      <c r="A694" s="4" t="s">
        <v>152</v>
      </c>
      <c r="B694" s="1" t="s">
        <v>1</v>
      </c>
      <c r="C694" s="2">
        <v>2</v>
      </c>
    </row>
    <row r="695" spans="1:3" x14ac:dyDescent="0.25">
      <c r="A695" s="4" t="s">
        <v>151</v>
      </c>
      <c r="B695" s="1" t="s">
        <v>1</v>
      </c>
      <c r="C695" s="2">
        <v>2</v>
      </c>
    </row>
    <row r="696" spans="1:3" x14ac:dyDescent="0.25">
      <c r="A696" s="4" t="s">
        <v>150</v>
      </c>
      <c r="B696" s="1" t="s">
        <v>1</v>
      </c>
      <c r="C696" s="2" t="s">
        <v>454</v>
      </c>
    </row>
    <row r="697" spans="1:3" x14ac:dyDescent="0.25">
      <c r="A697" s="4" t="s">
        <v>149</v>
      </c>
      <c r="B697" s="1" t="s">
        <v>1</v>
      </c>
      <c r="C697" s="2" t="s">
        <v>455</v>
      </c>
    </row>
    <row r="698" spans="1:3" x14ac:dyDescent="0.25">
      <c r="A698" s="4" t="s">
        <v>120</v>
      </c>
      <c r="B698" s="1" t="s">
        <v>1</v>
      </c>
      <c r="C698" s="2" t="s">
        <v>857</v>
      </c>
    </row>
    <row r="699" spans="1:3" x14ac:dyDescent="0.25">
      <c r="A699" s="4" t="s">
        <v>119</v>
      </c>
      <c r="B699" s="1" t="s">
        <v>1</v>
      </c>
      <c r="C699" s="2" t="s">
        <v>445</v>
      </c>
    </row>
    <row r="701" spans="1:3" s="7" customFormat="1" ht="15.75" x14ac:dyDescent="0.3">
      <c r="A701" s="5" t="s">
        <v>456</v>
      </c>
      <c r="B701" s="5"/>
      <c r="C701" s="6"/>
    </row>
    <row r="702" spans="1:3" x14ac:dyDescent="0.25">
      <c r="A702" s="4" t="s">
        <v>154</v>
      </c>
      <c r="B702" s="1" t="s">
        <v>1</v>
      </c>
      <c r="C702" s="2" t="s">
        <v>192</v>
      </c>
    </row>
    <row r="703" spans="1:3" x14ac:dyDescent="0.25">
      <c r="A703" s="4" t="s">
        <v>152</v>
      </c>
      <c r="B703" s="1" t="s">
        <v>1</v>
      </c>
      <c r="C703" s="2">
        <v>2</v>
      </c>
    </row>
    <row r="704" spans="1:3" x14ac:dyDescent="0.25">
      <c r="A704" s="4" t="s">
        <v>151</v>
      </c>
      <c r="B704" s="1" t="s">
        <v>1</v>
      </c>
      <c r="C704" s="2">
        <v>2</v>
      </c>
    </row>
    <row r="705" spans="1:3" x14ac:dyDescent="0.25">
      <c r="A705" s="4" t="s">
        <v>150</v>
      </c>
      <c r="B705" s="1" t="s">
        <v>1</v>
      </c>
      <c r="C705" s="2" t="s">
        <v>457</v>
      </c>
    </row>
    <row r="706" spans="1:3" x14ac:dyDescent="0.25">
      <c r="A706" s="4" t="s">
        <v>149</v>
      </c>
      <c r="B706" s="1" t="s">
        <v>1</v>
      </c>
      <c r="C706" s="2" t="s">
        <v>458</v>
      </c>
    </row>
    <row r="707" spans="1:3" x14ac:dyDescent="0.25">
      <c r="A707" s="4" t="s">
        <v>120</v>
      </c>
      <c r="B707" s="1" t="s">
        <v>1</v>
      </c>
      <c r="C707" s="2" t="s">
        <v>858</v>
      </c>
    </row>
    <row r="708" spans="1:3" x14ac:dyDescent="0.25">
      <c r="A708" s="4" t="s">
        <v>119</v>
      </c>
      <c r="B708" s="1" t="s">
        <v>1</v>
      </c>
      <c r="C708" s="2" t="s">
        <v>445</v>
      </c>
    </row>
    <row r="710" spans="1:3" s="7" customFormat="1" ht="15.75" x14ac:dyDescent="0.3">
      <c r="A710" s="5" t="s">
        <v>459</v>
      </c>
      <c r="B710" s="5"/>
      <c r="C710" s="6"/>
    </row>
    <row r="711" spans="1:3" x14ac:dyDescent="0.25">
      <c r="A711" s="4" t="s">
        <v>460</v>
      </c>
      <c r="B711" s="1" t="s">
        <v>1</v>
      </c>
      <c r="C711" s="2" t="s">
        <v>272</v>
      </c>
    </row>
    <row r="712" spans="1:3" x14ac:dyDescent="0.25">
      <c r="A712" s="4" t="s">
        <v>154</v>
      </c>
      <c r="B712" s="1" t="s">
        <v>1</v>
      </c>
      <c r="C712" s="2" t="s">
        <v>461</v>
      </c>
    </row>
    <row r="713" spans="1:3" x14ac:dyDescent="0.25">
      <c r="A713" s="4" t="s">
        <v>152</v>
      </c>
      <c r="B713" s="1" t="s">
        <v>1</v>
      </c>
      <c r="C713" s="2">
        <v>2</v>
      </c>
    </row>
    <row r="714" spans="1:3" x14ac:dyDescent="0.25">
      <c r="A714" s="4" t="s">
        <v>151</v>
      </c>
      <c r="B714" s="1" t="s">
        <v>1</v>
      </c>
      <c r="C714" s="2">
        <v>2</v>
      </c>
    </row>
    <row r="715" spans="1:3" x14ac:dyDescent="0.25">
      <c r="A715" s="4" t="s">
        <v>150</v>
      </c>
      <c r="B715" s="1" t="s">
        <v>1</v>
      </c>
      <c r="C715" s="2" t="s">
        <v>462</v>
      </c>
    </row>
    <row r="716" spans="1:3" x14ac:dyDescent="0.25">
      <c r="A716" s="4" t="s">
        <v>149</v>
      </c>
      <c r="B716" s="1" t="s">
        <v>1</v>
      </c>
      <c r="C716" s="2" t="s">
        <v>463</v>
      </c>
    </row>
    <row r="717" spans="1:3" x14ac:dyDescent="0.25">
      <c r="A717" s="4" t="s">
        <v>120</v>
      </c>
      <c r="B717" s="1" t="s">
        <v>1</v>
      </c>
      <c r="C717" s="2" t="s">
        <v>732</v>
      </c>
    </row>
    <row r="718" spans="1:3" x14ac:dyDescent="0.25">
      <c r="A718" s="4" t="s">
        <v>119</v>
      </c>
      <c r="B718" s="1" t="s">
        <v>1</v>
      </c>
      <c r="C718" s="2" t="s">
        <v>733</v>
      </c>
    </row>
    <row r="720" spans="1:3" s="7" customFormat="1" ht="15.75" x14ac:dyDescent="0.3">
      <c r="A720" s="5" t="s">
        <v>464</v>
      </c>
      <c r="B720" s="5"/>
      <c r="C720" s="6"/>
    </row>
    <row r="721" spans="1:3" x14ac:dyDescent="0.25">
      <c r="A721" s="4" t="s">
        <v>264</v>
      </c>
      <c r="B721" s="1" t="s">
        <v>1</v>
      </c>
      <c r="C721" s="2" t="s">
        <v>272</v>
      </c>
    </row>
    <row r="722" spans="1:3" x14ac:dyDescent="0.25">
      <c r="A722" s="4" t="s">
        <v>154</v>
      </c>
      <c r="B722" s="1" t="s">
        <v>1</v>
      </c>
      <c r="C722" s="2" t="s">
        <v>465</v>
      </c>
    </row>
    <row r="723" spans="1:3" x14ac:dyDescent="0.25">
      <c r="A723" s="4" t="s">
        <v>152</v>
      </c>
      <c r="B723" s="1" t="s">
        <v>1</v>
      </c>
      <c r="C723" s="2">
        <v>2</v>
      </c>
    </row>
    <row r="724" spans="1:3" x14ac:dyDescent="0.25">
      <c r="A724" s="4" t="s">
        <v>151</v>
      </c>
      <c r="B724" s="1" t="s">
        <v>1</v>
      </c>
      <c r="C724" s="2">
        <v>2</v>
      </c>
    </row>
    <row r="725" spans="1:3" x14ac:dyDescent="0.25">
      <c r="A725" s="4" t="s">
        <v>150</v>
      </c>
      <c r="B725" s="1" t="s">
        <v>1</v>
      </c>
      <c r="C725" s="2" t="s">
        <v>466</v>
      </c>
    </row>
    <row r="726" spans="1:3" x14ac:dyDescent="0.25">
      <c r="A726" s="4" t="s">
        <v>120</v>
      </c>
      <c r="B726" s="1" t="s">
        <v>1</v>
      </c>
      <c r="C726" s="2" t="s">
        <v>736</v>
      </c>
    </row>
    <row r="727" spans="1:3" x14ac:dyDescent="0.25">
      <c r="A727" s="4" t="s">
        <v>119</v>
      </c>
      <c r="B727" s="1" t="s">
        <v>1</v>
      </c>
      <c r="C727" s="2" t="s">
        <v>734</v>
      </c>
    </row>
    <row r="729" spans="1:3" s="7" customFormat="1" ht="15.75" x14ac:dyDescent="0.3">
      <c r="A729" s="5" t="s">
        <v>467</v>
      </c>
      <c r="B729" s="5"/>
      <c r="C729" s="6"/>
    </row>
    <row r="730" spans="1:3" x14ac:dyDescent="0.25">
      <c r="A730" s="4" t="s">
        <v>154</v>
      </c>
      <c r="B730" s="1" t="s">
        <v>1</v>
      </c>
      <c r="C730" s="2" t="s">
        <v>192</v>
      </c>
    </row>
    <row r="731" spans="1:3" x14ac:dyDescent="0.25">
      <c r="A731" s="4" t="s">
        <v>152</v>
      </c>
      <c r="B731" s="1" t="s">
        <v>1</v>
      </c>
      <c r="C731" s="2">
        <v>1</v>
      </c>
    </row>
    <row r="732" spans="1:3" x14ac:dyDescent="0.25">
      <c r="A732" s="4" t="s">
        <v>151</v>
      </c>
      <c r="B732" s="1" t="s">
        <v>1</v>
      </c>
      <c r="C732" s="2">
        <v>1</v>
      </c>
    </row>
    <row r="733" spans="1:3" x14ac:dyDescent="0.25">
      <c r="A733" s="4" t="s">
        <v>150</v>
      </c>
      <c r="B733" s="1" t="s">
        <v>1</v>
      </c>
      <c r="C733" s="2" t="s">
        <v>468</v>
      </c>
    </row>
    <row r="734" spans="1:3" x14ac:dyDescent="0.25">
      <c r="A734" s="4" t="s">
        <v>120</v>
      </c>
      <c r="B734" s="1" t="s">
        <v>1</v>
      </c>
      <c r="C734" s="2" t="s">
        <v>469</v>
      </c>
    </row>
    <row r="736" spans="1:3" s="7" customFormat="1" ht="15.75" x14ac:dyDescent="0.3">
      <c r="A736" s="5" t="s">
        <v>470</v>
      </c>
      <c r="B736" s="5"/>
      <c r="C736" s="6"/>
    </row>
    <row r="737" spans="1:3" x14ac:dyDescent="0.25">
      <c r="A737" s="4" t="s">
        <v>154</v>
      </c>
      <c r="B737" s="1" t="s">
        <v>1</v>
      </c>
      <c r="C737" s="2" t="s">
        <v>192</v>
      </c>
    </row>
    <row r="738" spans="1:3" x14ac:dyDescent="0.25">
      <c r="A738" s="4" t="s">
        <v>152</v>
      </c>
      <c r="B738" s="1" t="s">
        <v>1</v>
      </c>
      <c r="C738" s="2">
        <v>1</v>
      </c>
    </row>
    <row r="739" spans="1:3" x14ac:dyDescent="0.25">
      <c r="A739" s="4" t="s">
        <v>151</v>
      </c>
      <c r="B739" s="1" t="s">
        <v>1</v>
      </c>
      <c r="C739" s="2">
        <v>1</v>
      </c>
    </row>
    <row r="740" spans="1:3" x14ac:dyDescent="0.25">
      <c r="A740" s="4" t="s">
        <v>150</v>
      </c>
      <c r="B740" s="1" t="s">
        <v>1</v>
      </c>
      <c r="C740" s="2" t="s">
        <v>471</v>
      </c>
    </row>
    <row r="741" spans="1:3" x14ac:dyDescent="0.25">
      <c r="A741" s="4" t="s">
        <v>120</v>
      </c>
      <c r="B741" s="1" t="s">
        <v>1</v>
      </c>
      <c r="C741" s="2" t="s">
        <v>472</v>
      </c>
    </row>
    <row r="743" spans="1:3" s="7" customFormat="1" ht="15.75" x14ac:dyDescent="0.3">
      <c r="A743" s="5" t="s">
        <v>473</v>
      </c>
      <c r="B743" s="5"/>
      <c r="C743" s="6"/>
    </row>
    <row r="744" spans="1:3" x14ac:dyDescent="0.25">
      <c r="A744" s="4" t="s">
        <v>154</v>
      </c>
      <c r="B744" s="1" t="s">
        <v>1</v>
      </c>
      <c r="C744" s="2" t="s">
        <v>192</v>
      </c>
    </row>
    <row r="745" spans="1:3" x14ac:dyDescent="0.25">
      <c r="A745" s="4" t="s">
        <v>152</v>
      </c>
      <c r="B745" s="1" t="s">
        <v>1</v>
      </c>
      <c r="C745" s="2">
        <v>1</v>
      </c>
    </row>
    <row r="746" spans="1:3" x14ac:dyDescent="0.25">
      <c r="A746" s="4" t="s">
        <v>151</v>
      </c>
      <c r="B746" s="1" t="s">
        <v>1</v>
      </c>
      <c r="C746" s="2">
        <v>1</v>
      </c>
    </row>
    <row r="747" spans="1:3" x14ac:dyDescent="0.25">
      <c r="A747" s="4" t="s">
        <v>150</v>
      </c>
      <c r="B747" s="1" t="s">
        <v>1</v>
      </c>
      <c r="C747" s="2" t="s">
        <v>471</v>
      </c>
    </row>
    <row r="748" spans="1:3" x14ac:dyDescent="0.25">
      <c r="A748" s="4" t="s">
        <v>120</v>
      </c>
      <c r="B748" s="1" t="s">
        <v>1</v>
      </c>
      <c r="C748" s="2" t="s">
        <v>735</v>
      </c>
    </row>
    <row r="750" spans="1:3" s="7" customFormat="1" ht="15.75" x14ac:dyDescent="0.3">
      <c r="A750" s="5" t="s">
        <v>474</v>
      </c>
      <c r="B750" s="5"/>
      <c r="C750" s="6"/>
    </row>
    <row r="751" spans="1:3" x14ac:dyDescent="0.25">
      <c r="A751" s="4" t="s">
        <v>460</v>
      </c>
      <c r="B751" s="1" t="s">
        <v>1</v>
      </c>
      <c r="C751" s="2" t="s">
        <v>77</v>
      </c>
    </row>
    <row r="752" spans="1:3" x14ac:dyDescent="0.25">
      <c r="A752" s="4" t="s">
        <v>154</v>
      </c>
      <c r="B752" s="1" t="s">
        <v>1</v>
      </c>
      <c r="C752" s="2" t="s">
        <v>475</v>
      </c>
    </row>
    <row r="753" spans="1:3" x14ac:dyDescent="0.25">
      <c r="A753" s="4" t="s">
        <v>152</v>
      </c>
      <c r="B753" s="1" t="s">
        <v>1</v>
      </c>
      <c r="C753" s="2">
        <v>2</v>
      </c>
    </row>
    <row r="754" spans="1:3" x14ac:dyDescent="0.25">
      <c r="A754" s="4" t="s">
        <v>151</v>
      </c>
      <c r="B754" s="1" t="s">
        <v>1</v>
      </c>
      <c r="C754" s="2">
        <v>2</v>
      </c>
    </row>
    <row r="755" spans="1:3" x14ac:dyDescent="0.25">
      <c r="A755" s="4" t="s">
        <v>150</v>
      </c>
      <c r="B755" s="1" t="s">
        <v>1</v>
      </c>
      <c r="C755" s="2" t="s">
        <v>476</v>
      </c>
    </row>
    <row r="756" spans="1:3" x14ac:dyDescent="0.25">
      <c r="A756" s="4" t="s">
        <v>120</v>
      </c>
      <c r="B756" s="1" t="s">
        <v>1</v>
      </c>
      <c r="C756" s="2" t="s">
        <v>732</v>
      </c>
    </row>
    <row r="757" spans="1:3" x14ac:dyDescent="0.25">
      <c r="A757" s="4" t="s">
        <v>119</v>
      </c>
      <c r="B757" s="1" t="s">
        <v>1</v>
      </c>
      <c r="C757" s="2" t="s">
        <v>733</v>
      </c>
    </row>
    <row r="759" spans="1:3" s="7" customFormat="1" ht="15.75" x14ac:dyDescent="0.3">
      <c r="A759" s="5" t="s">
        <v>477</v>
      </c>
      <c r="B759" s="5"/>
      <c r="C759" s="6"/>
    </row>
    <row r="760" spans="1:3" x14ac:dyDescent="0.25">
      <c r="A760" s="4" t="s">
        <v>264</v>
      </c>
      <c r="B760" s="1" t="s">
        <v>1</v>
      </c>
      <c r="C760" s="2" t="s">
        <v>77</v>
      </c>
    </row>
    <row r="761" spans="1:3" x14ac:dyDescent="0.25">
      <c r="A761" s="4" t="s">
        <v>154</v>
      </c>
      <c r="B761" s="1" t="s">
        <v>1</v>
      </c>
      <c r="C761" s="2" t="s">
        <v>478</v>
      </c>
    </row>
    <row r="762" spans="1:3" x14ac:dyDescent="0.25">
      <c r="A762" s="4" t="s">
        <v>152</v>
      </c>
      <c r="B762" s="1" t="s">
        <v>1</v>
      </c>
      <c r="C762" s="2">
        <v>2</v>
      </c>
    </row>
    <row r="763" spans="1:3" x14ac:dyDescent="0.25">
      <c r="A763" s="4" t="s">
        <v>151</v>
      </c>
      <c r="B763" s="1" t="s">
        <v>1</v>
      </c>
      <c r="C763" s="2">
        <v>2</v>
      </c>
    </row>
    <row r="764" spans="1:3" x14ac:dyDescent="0.25">
      <c r="A764" s="4" t="s">
        <v>150</v>
      </c>
      <c r="B764" s="1" t="s">
        <v>1</v>
      </c>
      <c r="C764" s="2" t="s">
        <v>466</v>
      </c>
    </row>
    <row r="765" spans="1:3" x14ac:dyDescent="0.25">
      <c r="A765" s="4" t="s">
        <v>120</v>
      </c>
      <c r="B765" s="1" t="s">
        <v>1</v>
      </c>
      <c r="C765" s="2" t="s">
        <v>736</v>
      </c>
    </row>
    <row r="766" spans="1:3" x14ac:dyDescent="0.25">
      <c r="A766" s="4" t="s">
        <v>119</v>
      </c>
      <c r="B766" s="1" t="s">
        <v>1</v>
      </c>
      <c r="C766" s="2" t="s">
        <v>734</v>
      </c>
    </row>
    <row r="768" spans="1:3" s="7" customFormat="1" ht="15.75" x14ac:dyDescent="0.3">
      <c r="A768" s="5" t="s">
        <v>479</v>
      </c>
      <c r="B768" s="5"/>
      <c r="C768" s="6"/>
    </row>
    <row r="769" spans="1:3" x14ac:dyDescent="0.25">
      <c r="A769" s="4" t="s">
        <v>154</v>
      </c>
      <c r="B769" s="1" t="s">
        <v>1</v>
      </c>
      <c r="C769" s="2" t="s">
        <v>192</v>
      </c>
    </row>
    <row r="770" spans="1:3" x14ac:dyDescent="0.25">
      <c r="A770" s="4" t="s">
        <v>152</v>
      </c>
      <c r="B770" s="1" t="s">
        <v>1</v>
      </c>
      <c r="C770" s="2">
        <v>1</v>
      </c>
    </row>
    <row r="771" spans="1:3" x14ac:dyDescent="0.25">
      <c r="A771" s="4" t="s">
        <v>151</v>
      </c>
      <c r="B771" s="1" t="s">
        <v>1</v>
      </c>
      <c r="C771" s="2">
        <v>1</v>
      </c>
    </row>
    <row r="772" spans="1:3" x14ac:dyDescent="0.25">
      <c r="A772" s="4" t="s">
        <v>150</v>
      </c>
      <c r="B772" s="1" t="s">
        <v>1</v>
      </c>
      <c r="C772" s="2" t="s">
        <v>480</v>
      </c>
    </row>
    <row r="773" spans="1:3" x14ac:dyDescent="0.25">
      <c r="A773" s="4" t="s">
        <v>120</v>
      </c>
      <c r="B773" s="1" t="s">
        <v>1</v>
      </c>
      <c r="C773" s="2" t="s">
        <v>481</v>
      </c>
    </row>
    <row r="775" spans="1:3" s="7" customFormat="1" ht="15.75" x14ac:dyDescent="0.3">
      <c r="A775" s="5" t="s">
        <v>482</v>
      </c>
      <c r="B775" s="5"/>
      <c r="C775" s="6"/>
    </row>
    <row r="776" spans="1:3" x14ac:dyDescent="0.25">
      <c r="A776" s="4" t="s">
        <v>154</v>
      </c>
      <c r="B776" s="1" t="s">
        <v>1</v>
      </c>
      <c r="C776" s="2" t="s">
        <v>192</v>
      </c>
    </row>
    <row r="777" spans="1:3" x14ac:dyDescent="0.25">
      <c r="A777" s="4" t="s">
        <v>152</v>
      </c>
      <c r="B777" s="1" t="s">
        <v>1</v>
      </c>
      <c r="C777" s="2">
        <v>1</v>
      </c>
    </row>
    <row r="778" spans="1:3" x14ac:dyDescent="0.25">
      <c r="A778" s="4" t="s">
        <v>151</v>
      </c>
      <c r="B778" s="1" t="s">
        <v>1</v>
      </c>
      <c r="C778" s="2">
        <v>1</v>
      </c>
    </row>
    <row r="779" spans="1:3" x14ac:dyDescent="0.25">
      <c r="A779" s="4" t="s">
        <v>150</v>
      </c>
      <c r="B779" s="1" t="s">
        <v>1</v>
      </c>
      <c r="C779" s="2" t="s">
        <v>480</v>
      </c>
    </row>
    <row r="780" spans="1:3" x14ac:dyDescent="0.25">
      <c r="A780" s="4" t="s">
        <v>120</v>
      </c>
      <c r="B780" s="1" t="s">
        <v>1</v>
      </c>
      <c r="C780" s="2" t="s">
        <v>737</v>
      </c>
    </row>
    <row r="782" spans="1:3" s="7" customFormat="1" ht="15.75" x14ac:dyDescent="0.3">
      <c r="A782" s="5" t="s">
        <v>483</v>
      </c>
      <c r="B782" s="5"/>
      <c r="C782" s="6"/>
    </row>
    <row r="783" spans="1:3" x14ac:dyDescent="0.25">
      <c r="A783" s="4" t="s">
        <v>154</v>
      </c>
      <c r="B783" s="1" t="s">
        <v>1</v>
      </c>
      <c r="C783" s="2" t="s">
        <v>192</v>
      </c>
    </row>
    <row r="784" spans="1:3" x14ac:dyDescent="0.25">
      <c r="A784" s="4" t="s">
        <v>152</v>
      </c>
      <c r="B784" s="1" t="s">
        <v>1</v>
      </c>
      <c r="C784" s="2">
        <v>1</v>
      </c>
    </row>
    <row r="785" spans="1:3" x14ac:dyDescent="0.25">
      <c r="A785" s="4" t="s">
        <v>151</v>
      </c>
      <c r="B785" s="1" t="s">
        <v>1</v>
      </c>
      <c r="C785" s="2">
        <v>1</v>
      </c>
    </row>
    <row r="786" spans="1:3" x14ac:dyDescent="0.25">
      <c r="A786" s="4" t="s">
        <v>150</v>
      </c>
      <c r="B786" s="1" t="s">
        <v>1</v>
      </c>
      <c r="C786" s="2" t="s">
        <v>480</v>
      </c>
    </row>
    <row r="787" spans="1:3" x14ac:dyDescent="0.25">
      <c r="A787" s="4" t="s">
        <v>120</v>
      </c>
      <c r="B787" s="1" t="s">
        <v>1</v>
      </c>
      <c r="C787" s="2" t="s">
        <v>840</v>
      </c>
    </row>
    <row r="789" spans="1:3" s="7" customFormat="1" ht="15.75" x14ac:dyDescent="0.3">
      <c r="A789" s="5" t="s">
        <v>484</v>
      </c>
      <c r="B789" s="5"/>
      <c r="C789" s="6"/>
    </row>
    <row r="790" spans="1:3" x14ac:dyDescent="0.25">
      <c r="A790" s="4" t="s">
        <v>154</v>
      </c>
      <c r="B790" s="1" t="s">
        <v>1</v>
      </c>
      <c r="C790" s="2" t="s">
        <v>485</v>
      </c>
    </row>
    <row r="791" spans="1:3" x14ac:dyDescent="0.25">
      <c r="A791" s="4" t="s">
        <v>152</v>
      </c>
      <c r="B791" s="1" t="s">
        <v>1</v>
      </c>
      <c r="C791" s="2">
        <v>1</v>
      </c>
    </row>
    <row r="792" spans="1:3" x14ac:dyDescent="0.25">
      <c r="A792" s="4" t="s">
        <v>151</v>
      </c>
      <c r="B792" s="1" t="s">
        <v>1</v>
      </c>
      <c r="C792" s="2">
        <v>1</v>
      </c>
    </row>
    <row r="793" spans="1:3" x14ac:dyDescent="0.25">
      <c r="A793" s="4" t="s">
        <v>150</v>
      </c>
      <c r="B793" s="1" t="s">
        <v>1</v>
      </c>
      <c r="C793" s="2" t="s">
        <v>486</v>
      </c>
    </row>
    <row r="794" spans="1:3" x14ac:dyDescent="0.25">
      <c r="A794" s="4" t="s">
        <v>120</v>
      </c>
      <c r="B794" s="1" t="s">
        <v>1</v>
      </c>
      <c r="C794" s="2" t="s">
        <v>837</v>
      </c>
    </row>
    <row r="796" spans="1:3" s="7" customFormat="1" ht="15.75" x14ac:dyDescent="0.3">
      <c r="A796" s="5" t="s">
        <v>487</v>
      </c>
      <c r="B796" s="5"/>
      <c r="C796" s="6"/>
    </row>
    <row r="797" spans="1:3" x14ac:dyDescent="0.25">
      <c r="A797" s="4" t="s">
        <v>154</v>
      </c>
      <c r="B797" s="1" t="s">
        <v>1</v>
      </c>
      <c r="C797" s="2" t="s">
        <v>488</v>
      </c>
    </row>
    <row r="798" spans="1:3" x14ac:dyDescent="0.25">
      <c r="A798" s="4" t="s">
        <v>152</v>
      </c>
      <c r="B798" s="1" t="s">
        <v>1</v>
      </c>
      <c r="C798" s="2">
        <v>2</v>
      </c>
    </row>
    <row r="799" spans="1:3" x14ac:dyDescent="0.25">
      <c r="A799" s="4" t="s">
        <v>151</v>
      </c>
      <c r="B799" s="1" t="s">
        <v>1</v>
      </c>
      <c r="C799" s="2">
        <v>2</v>
      </c>
    </row>
    <row r="800" spans="1:3" x14ac:dyDescent="0.25">
      <c r="A800" s="4" t="s">
        <v>150</v>
      </c>
      <c r="B800" s="1" t="s">
        <v>1</v>
      </c>
      <c r="C800" s="2" t="s">
        <v>489</v>
      </c>
    </row>
    <row r="801" spans="1:3" x14ac:dyDescent="0.25">
      <c r="A801" s="4" t="s">
        <v>120</v>
      </c>
      <c r="B801" s="1" t="s">
        <v>1</v>
      </c>
      <c r="C801" s="2" t="s">
        <v>838</v>
      </c>
    </row>
    <row r="802" spans="1:3" x14ac:dyDescent="0.25">
      <c r="A802" s="4" t="s">
        <v>119</v>
      </c>
      <c r="B802" s="1" t="s">
        <v>1</v>
      </c>
      <c r="C802" s="2" t="s">
        <v>738</v>
      </c>
    </row>
    <row r="804" spans="1:3" s="7" customFormat="1" ht="15.75" x14ac:dyDescent="0.3">
      <c r="A804" s="5" t="s">
        <v>490</v>
      </c>
      <c r="B804" s="5"/>
      <c r="C804" s="6"/>
    </row>
    <row r="805" spans="1:3" x14ac:dyDescent="0.25">
      <c r="A805" s="4" t="s">
        <v>154</v>
      </c>
      <c r="B805" s="1" t="s">
        <v>1</v>
      </c>
      <c r="C805" s="2" t="s">
        <v>491</v>
      </c>
    </row>
    <row r="806" spans="1:3" x14ac:dyDescent="0.25">
      <c r="A806" s="4" t="s">
        <v>152</v>
      </c>
      <c r="B806" s="1" t="s">
        <v>1</v>
      </c>
      <c r="C806" s="2">
        <v>1</v>
      </c>
    </row>
    <row r="807" spans="1:3" x14ac:dyDescent="0.25">
      <c r="A807" s="4" t="s">
        <v>151</v>
      </c>
      <c r="B807" s="1" t="s">
        <v>1</v>
      </c>
      <c r="C807" s="2">
        <v>1</v>
      </c>
    </row>
    <row r="808" spans="1:3" x14ac:dyDescent="0.25">
      <c r="A808" s="4" t="s">
        <v>150</v>
      </c>
      <c r="B808" s="1" t="s">
        <v>1</v>
      </c>
      <c r="C808" s="2" t="s">
        <v>492</v>
      </c>
    </row>
    <row r="809" spans="1:3" x14ac:dyDescent="0.25">
      <c r="A809" s="4" t="s">
        <v>120</v>
      </c>
      <c r="B809" s="1" t="s">
        <v>1</v>
      </c>
      <c r="C809" s="2" t="s">
        <v>838</v>
      </c>
    </row>
    <row r="811" spans="1:3" s="7" customFormat="1" ht="15.75" x14ac:dyDescent="0.3">
      <c r="A811" s="5" t="s">
        <v>493</v>
      </c>
      <c r="B811" s="5"/>
      <c r="C811" s="6"/>
    </row>
    <row r="812" spans="1:3" x14ac:dyDescent="0.25">
      <c r="A812" s="4" t="s">
        <v>154</v>
      </c>
      <c r="B812" s="1" t="s">
        <v>1</v>
      </c>
      <c r="C812" s="2" t="s">
        <v>494</v>
      </c>
    </row>
    <row r="813" spans="1:3" x14ac:dyDescent="0.25">
      <c r="A813" s="4" t="s">
        <v>152</v>
      </c>
      <c r="B813" s="1" t="s">
        <v>1</v>
      </c>
      <c r="C813" s="2">
        <v>2</v>
      </c>
    </row>
    <row r="814" spans="1:3" x14ac:dyDescent="0.25">
      <c r="A814" s="4" t="s">
        <v>151</v>
      </c>
      <c r="B814" s="1" t="s">
        <v>1</v>
      </c>
      <c r="C814" s="2">
        <v>2</v>
      </c>
    </row>
    <row r="815" spans="1:3" x14ac:dyDescent="0.25">
      <c r="A815" s="4" t="s">
        <v>150</v>
      </c>
      <c r="B815" s="1" t="s">
        <v>1</v>
      </c>
      <c r="C815" s="2" t="s">
        <v>495</v>
      </c>
    </row>
    <row r="816" spans="1:3" x14ac:dyDescent="0.25">
      <c r="A816" s="4" t="s">
        <v>120</v>
      </c>
      <c r="B816" s="1" t="s">
        <v>1</v>
      </c>
      <c r="C816" s="2" t="s">
        <v>838</v>
      </c>
    </row>
    <row r="817" spans="1:3" x14ac:dyDescent="0.25">
      <c r="A817" s="4" t="s">
        <v>119</v>
      </c>
      <c r="B817" s="1" t="s">
        <v>1</v>
      </c>
      <c r="C817" s="2" t="s">
        <v>738</v>
      </c>
    </row>
    <row r="819" spans="1:3" s="7" customFormat="1" ht="15.75" x14ac:dyDescent="0.3">
      <c r="A819" s="5" t="s">
        <v>496</v>
      </c>
      <c r="B819" s="5"/>
      <c r="C819" s="6"/>
    </row>
    <row r="820" spans="1:3" x14ac:dyDescent="0.25">
      <c r="A820" s="4" t="s">
        <v>154</v>
      </c>
      <c r="B820" s="1" t="s">
        <v>1</v>
      </c>
      <c r="C820" s="2" t="s">
        <v>192</v>
      </c>
    </row>
    <row r="821" spans="1:3" x14ac:dyDescent="0.25">
      <c r="A821" s="4" t="s">
        <v>152</v>
      </c>
      <c r="B821" s="1" t="s">
        <v>1</v>
      </c>
      <c r="C821" s="2">
        <v>1</v>
      </c>
    </row>
    <row r="822" spans="1:3" x14ac:dyDescent="0.25">
      <c r="A822" s="4" t="s">
        <v>151</v>
      </c>
      <c r="B822" s="1" t="s">
        <v>1</v>
      </c>
      <c r="C822" s="2">
        <v>1</v>
      </c>
    </row>
    <row r="823" spans="1:3" x14ac:dyDescent="0.25">
      <c r="A823" s="4" t="s">
        <v>150</v>
      </c>
      <c r="B823" s="1" t="s">
        <v>1</v>
      </c>
      <c r="C823" s="2" t="s">
        <v>497</v>
      </c>
    </row>
    <row r="824" spans="1:3" x14ac:dyDescent="0.25">
      <c r="A824" s="4" t="s">
        <v>120</v>
      </c>
      <c r="B824" s="1" t="s">
        <v>1</v>
      </c>
      <c r="C824" s="2" t="s">
        <v>498</v>
      </c>
    </row>
    <row r="826" spans="1:3" s="7" customFormat="1" ht="15.75" x14ac:dyDescent="0.3">
      <c r="A826" s="5" t="s">
        <v>499</v>
      </c>
      <c r="B826" s="5"/>
      <c r="C826" s="6"/>
    </row>
    <row r="827" spans="1:3" x14ac:dyDescent="0.25">
      <c r="A827" s="4" t="s">
        <v>154</v>
      </c>
      <c r="B827" s="1" t="s">
        <v>1</v>
      </c>
      <c r="C827" s="2" t="s">
        <v>500</v>
      </c>
    </row>
    <row r="828" spans="1:3" x14ac:dyDescent="0.25">
      <c r="A828" s="4" t="s">
        <v>152</v>
      </c>
      <c r="B828" s="1" t="s">
        <v>1</v>
      </c>
      <c r="C828" s="2">
        <v>1</v>
      </c>
    </row>
    <row r="829" spans="1:3" x14ac:dyDescent="0.25">
      <c r="A829" s="4" t="s">
        <v>151</v>
      </c>
      <c r="B829" s="1" t="s">
        <v>1</v>
      </c>
      <c r="C829" s="2">
        <v>1</v>
      </c>
    </row>
    <row r="830" spans="1:3" x14ac:dyDescent="0.25">
      <c r="A830" s="4" t="s">
        <v>150</v>
      </c>
      <c r="B830" s="1" t="s">
        <v>1</v>
      </c>
      <c r="C830" s="2" t="s">
        <v>501</v>
      </c>
    </row>
    <row r="831" spans="1:3" x14ac:dyDescent="0.25">
      <c r="A831" s="4" t="s">
        <v>120</v>
      </c>
      <c r="B831" s="1" t="s">
        <v>1</v>
      </c>
      <c r="C831" s="2" t="s">
        <v>846</v>
      </c>
    </row>
    <row r="833" spans="1:3" s="7" customFormat="1" ht="15.75" x14ac:dyDescent="0.3">
      <c r="A833" s="5" t="s">
        <v>502</v>
      </c>
      <c r="B833" s="5"/>
      <c r="C833" s="6"/>
    </row>
    <row r="834" spans="1:3" x14ac:dyDescent="0.25">
      <c r="A834" s="4" t="s">
        <v>154</v>
      </c>
      <c r="B834" s="1" t="s">
        <v>1</v>
      </c>
      <c r="C834" s="2" t="s">
        <v>500</v>
      </c>
    </row>
    <row r="835" spans="1:3" x14ac:dyDescent="0.25">
      <c r="A835" s="4" t="s">
        <v>152</v>
      </c>
      <c r="B835" s="1" t="s">
        <v>1</v>
      </c>
      <c r="C835" s="2">
        <v>2</v>
      </c>
    </row>
    <row r="836" spans="1:3" x14ac:dyDescent="0.25">
      <c r="A836" s="4" t="s">
        <v>151</v>
      </c>
      <c r="B836" s="1" t="s">
        <v>1</v>
      </c>
      <c r="C836" s="2">
        <v>2</v>
      </c>
    </row>
    <row r="837" spans="1:3" x14ac:dyDescent="0.25">
      <c r="A837" s="4" t="s">
        <v>150</v>
      </c>
      <c r="B837" s="1" t="s">
        <v>1</v>
      </c>
      <c r="C837" s="2" t="s">
        <v>501</v>
      </c>
    </row>
    <row r="838" spans="1:3" x14ac:dyDescent="0.25">
      <c r="A838" s="4" t="s">
        <v>120</v>
      </c>
      <c r="B838" s="1" t="s">
        <v>1</v>
      </c>
      <c r="C838" s="2" t="s">
        <v>846</v>
      </c>
    </row>
    <row r="839" spans="1:3" x14ac:dyDescent="0.25">
      <c r="A839" s="4" t="s">
        <v>119</v>
      </c>
      <c r="B839" s="1" t="s">
        <v>1</v>
      </c>
      <c r="C839" s="2" t="s">
        <v>739</v>
      </c>
    </row>
    <row r="841" spans="1:3" s="7" customFormat="1" ht="15.75" x14ac:dyDescent="0.3">
      <c r="A841" s="5" t="s">
        <v>503</v>
      </c>
      <c r="B841" s="5"/>
      <c r="C841" s="6"/>
    </row>
    <row r="842" spans="1:3" x14ac:dyDescent="0.25">
      <c r="A842" s="4" t="s">
        <v>154</v>
      </c>
      <c r="B842" s="1" t="s">
        <v>1</v>
      </c>
      <c r="C842" s="2" t="s">
        <v>504</v>
      </c>
    </row>
    <row r="843" spans="1:3" x14ac:dyDescent="0.25">
      <c r="A843" s="4" t="s">
        <v>152</v>
      </c>
      <c r="B843" s="1" t="s">
        <v>1</v>
      </c>
      <c r="C843" s="2">
        <v>2</v>
      </c>
    </row>
    <row r="844" spans="1:3" x14ac:dyDescent="0.25">
      <c r="A844" s="4" t="s">
        <v>151</v>
      </c>
      <c r="B844" s="1" t="s">
        <v>1</v>
      </c>
      <c r="C844" s="2">
        <v>2</v>
      </c>
    </row>
    <row r="845" spans="1:3" x14ac:dyDescent="0.25">
      <c r="A845" s="4" t="s">
        <v>150</v>
      </c>
      <c r="B845" s="1" t="s">
        <v>1</v>
      </c>
      <c r="C845" s="2" t="s">
        <v>501</v>
      </c>
    </row>
    <row r="846" spans="1:3" x14ac:dyDescent="0.25">
      <c r="A846" s="4" t="s">
        <v>120</v>
      </c>
      <c r="B846" s="1" t="s">
        <v>1</v>
      </c>
      <c r="C846" s="2" t="s">
        <v>846</v>
      </c>
    </row>
    <row r="847" spans="1:3" x14ac:dyDescent="0.25">
      <c r="A847" s="4" t="s">
        <v>119</v>
      </c>
      <c r="B847" s="1" t="s">
        <v>1</v>
      </c>
      <c r="C847" s="2" t="s">
        <v>740</v>
      </c>
    </row>
    <row r="849" spans="1:3" s="7" customFormat="1" ht="15.75" x14ac:dyDescent="0.3">
      <c r="A849" s="5" t="s">
        <v>505</v>
      </c>
      <c r="B849" s="5"/>
      <c r="C849" s="6"/>
    </row>
    <row r="850" spans="1:3" x14ac:dyDescent="0.25">
      <c r="A850" s="4" t="s">
        <v>154</v>
      </c>
      <c r="B850" s="1" t="s">
        <v>1</v>
      </c>
      <c r="C850" s="2" t="s">
        <v>506</v>
      </c>
    </row>
    <row r="851" spans="1:3" x14ac:dyDescent="0.25">
      <c r="A851" s="4" t="s">
        <v>152</v>
      </c>
      <c r="B851" s="1" t="s">
        <v>1</v>
      </c>
      <c r="C851" s="2">
        <v>2</v>
      </c>
    </row>
    <row r="852" spans="1:3" x14ac:dyDescent="0.25">
      <c r="A852" s="4" t="s">
        <v>151</v>
      </c>
      <c r="B852" s="1" t="s">
        <v>1</v>
      </c>
      <c r="C852" s="2">
        <v>2</v>
      </c>
    </row>
    <row r="853" spans="1:3" x14ac:dyDescent="0.25">
      <c r="A853" s="4" t="s">
        <v>150</v>
      </c>
      <c r="B853" s="1" t="s">
        <v>1</v>
      </c>
      <c r="C853" s="2" t="s">
        <v>501</v>
      </c>
    </row>
    <row r="854" spans="1:3" x14ac:dyDescent="0.25">
      <c r="A854" s="4" t="s">
        <v>120</v>
      </c>
      <c r="B854" s="1" t="s">
        <v>1</v>
      </c>
      <c r="C854" s="2" t="s">
        <v>846</v>
      </c>
    </row>
    <row r="855" spans="1:3" x14ac:dyDescent="0.25">
      <c r="A855" s="4" t="s">
        <v>119</v>
      </c>
      <c r="B855" s="1" t="s">
        <v>1</v>
      </c>
      <c r="C855" s="2" t="s">
        <v>741</v>
      </c>
    </row>
    <row r="857" spans="1:3" s="7" customFormat="1" ht="15.75" x14ac:dyDescent="0.3">
      <c r="A857" s="5" t="s">
        <v>507</v>
      </c>
      <c r="B857" s="5"/>
      <c r="C857" s="6"/>
    </row>
    <row r="858" spans="1:3" x14ac:dyDescent="0.25">
      <c r="A858" s="4" t="s">
        <v>154</v>
      </c>
      <c r="B858" s="1" t="s">
        <v>1</v>
      </c>
      <c r="C858" s="2" t="s">
        <v>508</v>
      </c>
    </row>
    <row r="859" spans="1:3" x14ac:dyDescent="0.25">
      <c r="A859" s="4" t="s">
        <v>152</v>
      </c>
      <c r="B859" s="1" t="s">
        <v>1</v>
      </c>
      <c r="C859" s="2">
        <v>1</v>
      </c>
    </row>
    <row r="860" spans="1:3" x14ac:dyDescent="0.25">
      <c r="A860" s="4" t="s">
        <v>151</v>
      </c>
      <c r="B860" s="1" t="s">
        <v>1</v>
      </c>
      <c r="C860" s="2">
        <v>1</v>
      </c>
    </row>
    <row r="861" spans="1:3" x14ac:dyDescent="0.25">
      <c r="A861" s="4" t="s">
        <v>150</v>
      </c>
      <c r="B861" s="1" t="s">
        <v>1</v>
      </c>
      <c r="C861" s="2" t="s">
        <v>501</v>
      </c>
    </row>
    <row r="862" spans="1:3" x14ac:dyDescent="0.25">
      <c r="A862" s="4" t="s">
        <v>120</v>
      </c>
      <c r="B862" s="1" t="s">
        <v>1</v>
      </c>
      <c r="C862" s="2" t="s">
        <v>841</v>
      </c>
    </row>
    <row r="864" spans="1:3" s="7" customFormat="1" ht="15.75" x14ac:dyDescent="0.3">
      <c r="A864" s="5" t="s">
        <v>509</v>
      </c>
      <c r="B864" s="5"/>
      <c r="C864" s="6"/>
    </row>
    <row r="865" spans="1:3" x14ac:dyDescent="0.25">
      <c r="A865" s="4" t="s">
        <v>154</v>
      </c>
      <c r="B865" s="1" t="s">
        <v>1</v>
      </c>
      <c r="C865" s="2" t="s">
        <v>510</v>
      </c>
    </row>
    <row r="866" spans="1:3" x14ac:dyDescent="0.25">
      <c r="A866" s="4" t="s">
        <v>152</v>
      </c>
      <c r="B866" s="1" t="s">
        <v>1</v>
      </c>
      <c r="C866" s="2">
        <v>2</v>
      </c>
    </row>
    <row r="867" spans="1:3" x14ac:dyDescent="0.25">
      <c r="A867" s="4" t="s">
        <v>151</v>
      </c>
      <c r="B867" s="1" t="s">
        <v>1</v>
      </c>
      <c r="C867" s="2">
        <v>2</v>
      </c>
    </row>
    <row r="868" spans="1:3" x14ac:dyDescent="0.25">
      <c r="A868" s="4" t="s">
        <v>150</v>
      </c>
      <c r="B868" s="1" t="s">
        <v>1</v>
      </c>
      <c r="C868" s="2" t="s">
        <v>501</v>
      </c>
    </row>
    <row r="869" spans="1:3" x14ac:dyDescent="0.25">
      <c r="A869" s="4" t="s">
        <v>120</v>
      </c>
      <c r="B869" s="1" t="s">
        <v>1</v>
      </c>
      <c r="C869" s="2" t="s">
        <v>841</v>
      </c>
    </row>
    <row r="870" spans="1:3" x14ac:dyDescent="0.25">
      <c r="A870" s="4" t="s">
        <v>119</v>
      </c>
      <c r="B870" s="1" t="s">
        <v>1</v>
      </c>
      <c r="C870" s="2" t="s">
        <v>739</v>
      </c>
    </row>
    <row r="872" spans="1:3" s="7" customFormat="1" ht="15.75" x14ac:dyDescent="0.3">
      <c r="A872" s="5" t="s">
        <v>511</v>
      </c>
      <c r="B872" s="5"/>
      <c r="C872" s="6"/>
    </row>
    <row r="873" spans="1:3" x14ac:dyDescent="0.25">
      <c r="A873" s="4" t="s">
        <v>154</v>
      </c>
      <c r="B873" s="1" t="s">
        <v>1</v>
      </c>
      <c r="C873" s="2" t="s">
        <v>512</v>
      </c>
    </row>
    <row r="874" spans="1:3" x14ac:dyDescent="0.25">
      <c r="A874" s="4" t="s">
        <v>152</v>
      </c>
      <c r="B874" s="1" t="s">
        <v>1</v>
      </c>
      <c r="C874" s="2">
        <v>2</v>
      </c>
    </row>
    <row r="875" spans="1:3" x14ac:dyDescent="0.25">
      <c r="A875" s="4" t="s">
        <v>151</v>
      </c>
      <c r="B875" s="1" t="s">
        <v>1</v>
      </c>
      <c r="C875" s="2">
        <v>2</v>
      </c>
    </row>
    <row r="876" spans="1:3" x14ac:dyDescent="0.25">
      <c r="A876" s="4" t="s">
        <v>150</v>
      </c>
      <c r="B876" s="1" t="s">
        <v>1</v>
      </c>
      <c r="C876" s="2" t="s">
        <v>501</v>
      </c>
    </row>
    <row r="877" spans="1:3" x14ac:dyDescent="0.25">
      <c r="A877" s="4" t="s">
        <v>120</v>
      </c>
      <c r="B877" s="1" t="s">
        <v>1</v>
      </c>
      <c r="C877" s="2" t="s">
        <v>841</v>
      </c>
    </row>
    <row r="878" spans="1:3" x14ac:dyDescent="0.25">
      <c r="A878" s="4" t="s">
        <v>119</v>
      </c>
      <c r="B878" s="1" t="s">
        <v>1</v>
      </c>
      <c r="C878" s="2" t="s">
        <v>740</v>
      </c>
    </row>
    <row r="880" spans="1:3" s="7" customFormat="1" ht="15.75" x14ac:dyDescent="0.3">
      <c r="A880" s="5" t="s">
        <v>513</v>
      </c>
      <c r="B880" s="5"/>
      <c r="C880" s="6"/>
    </row>
    <row r="881" spans="1:3" x14ac:dyDescent="0.25">
      <c r="A881" s="4" t="s">
        <v>154</v>
      </c>
      <c r="B881" s="1" t="s">
        <v>1</v>
      </c>
      <c r="C881" s="2" t="s">
        <v>514</v>
      </c>
    </row>
    <row r="882" spans="1:3" x14ac:dyDescent="0.25">
      <c r="A882" s="4" t="s">
        <v>152</v>
      </c>
      <c r="B882" s="1" t="s">
        <v>1</v>
      </c>
      <c r="C882" s="2">
        <v>2</v>
      </c>
    </row>
    <row r="883" spans="1:3" x14ac:dyDescent="0.25">
      <c r="A883" s="4" t="s">
        <v>151</v>
      </c>
      <c r="B883" s="1" t="s">
        <v>1</v>
      </c>
      <c r="C883" s="2">
        <v>2</v>
      </c>
    </row>
    <row r="884" spans="1:3" x14ac:dyDescent="0.25">
      <c r="A884" s="4" t="s">
        <v>150</v>
      </c>
      <c r="B884" s="1" t="s">
        <v>1</v>
      </c>
      <c r="C884" s="2" t="s">
        <v>501</v>
      </c>
    </row>
    <row r="885" spans="1:3" x14ac:dyDescent="0.25">
      <c r="A885" s="4" t="s">
        <v>120</v>
      </c>
      <c r="B885" s="1" t="s">
        <v>1</v>
      </c>
      <c r="C885" s="2" t="s">
        <v>842</v>
      </c>
    </row>
    <row r="887" spans="1:3" s="7" customFormat="1" ht="15.75" x14ac:dyDescent="0.3">
      <c r="A887" s="5" t="s">
        <v>515</v>
      </c>
      <c r="B887" s="5"/>
      <c r="C887" s="6"/>
    </row>
    <row r="888" spans="1:3" x14ac:dyDescent="0.25">
      <c r="A888" s="4" t="s">
        <v>154</v>
      </c>
      <c r="B888" s="1" t="s">
        <v>1</v>
      </c>
      <c r="C888" s="2" t="s">
        <v>516</v>
      </c>
    </row>
    <row r="889" spans="1:3" x14ac:dyDescent="0.25">
      <c r="A889" s="4" t="s">
        <v>152</v>
      </c>
      <c r="B889" s="1" t="s">
        <v>1</v>
      </c>
      <c r="C889" s="2">
        <v>1</v>
      </c>
    </row>
    <row r="890" spans="1:3" x14ac:dyDescent="0.25">
      <c r="A890" s="4" t="s">
        <v>151</v>
      </c>
      <c r="B890" s="1" t="s">
        <v>1</v>
      </c>
      <c r="C890" s="2">
        <v>1</v>
      </c>
    </row>
    <row r="891" spans="1:3" x14ac:dyDescent="0.25">
      <c r="A891" s="4" t="s">
        <v>150</v>
      </c>
      <c r="B891" s="1" t="s">
        <v>1</v>
      </c>
      <c r="C891" s="2" t="s">
        <v>517</v>
      </c>
    </row>
    <row r="892" spans="1:3" x14ac:dyDescent="0.25">
      <c r="A892" s="4" t="s">
        <v>120</v>
      </c>
      <c r="B892" s="1" t="s">
        <v>1</v>
      </c>
      <c r="C892" s="2" t="s">
        <v>518</v>
      </c>
    </row>
    <row r="894" spans="1:3" s="7" customFormat="1" ht="15.75" x14ac:dyDescent="0.3">
      <c r="A894" s="5" t="s">
        <v>519</v>
      </c>
      <c r="B894" s="5"/>
      <c r="C894" s="6"/>
    </row>
    <row r="895" spans="1:3" x14ac:dyDescent="0.25">
      <c r="A895" s="4" t="s">
        <v>154</v>
      </c>
      <c r="B895" s="1" t="s">
        <v>1</v>
      </c>
      <c r="C895" s="2" t="s">
        <v>516</v>
      </c>
    </row>
    <row r="896" spans="1:3" x14ac:dyDescent="0.25">
      <c r="A896" s="4" t="s">
        <v>152</v>
      </c>
      <c r="B896" s="1" t="s">
        <v>1</v>
      </c>
      <c r="C896" s="2">
        <v>1</v>
      </c>
    </row>
    <row r="897" spans="1:3" x14ac:dyDescent="0.25">
      <c r="A897" s="4" t="s">
        <v>151</v>
      </c>
      <c r="B897" s="1" t="s">
        <v>1</v>
      </c>
      <c r="C897" s="2">
        <v>1</v>
      </c>
    </row>
    <row r="898" spans="1:3" x14ac:dyDescent="0.25">
      <c r="A898" s="4" t="s">
        <v>150</v>
      </c>
      <c r="B898" s="1" t="s">
        <v>1</v>
      </c>
      <c r="C898" s="2" t="s">
        <v>520</v>
      </c>
    </row>
    <row r="899" spans="1:3" x14ac:dyDescent="0.25">
      <c r="A899" s="4" t="s">
        <v>120</v>
      </c>
      <c r="B899" s="1" t="s">
        <v>1</v>
      </c>
      <c r="C899" s="2" t="s">
        <v>742</v>
      </c>
    </row>
    <row r="901" spans="1:3" s="7" customFormat="1" ht="15.75" x14ac:dyDescent="0.3">
      <c r="A901" s="5" t="s">
        <v>521</v>
      </c>
      <c r="B901" s="5"/>
      <c r="C901" s="6"/>
    </row>
    <row r="902" spans="1:3" x14ac:dyDescent="0.25">
      <c r="A902" s="4" t="s">
        <v>154</v>
      </c>
      <c r="B902" s="1" t="s">
        <v>1</v>
      </c>
      <c r="C902" s="2" t="s">
        <v>516</v>
      </c>
    </row>
    <row r="903" spans="1:3" x14ac:dyDescent="0.25">
      <c r="A903" s="4" t="s">
        <v>152</v>
      </c>
      <c r="B903" s="1" t="s">
        <v>1</v>
      </c>
      <c r="C903" s="2">
        <v>1</v>
      </c>
    </row>
    <row r="904" spans="1:3" x14ac:dyDescent="0.25">
      <c r="A904" s="4" t="s">
        <v>151</v>
      </c>
      <c r="B904" s="1" t="s">
        <v>1</v>
      </c>
      <c r="C904" s="2">
        <v>1</v>
      </c>
    </row>
    <row r="905" spans="1:3" x14ac:dyDescent="0.25">
      <c r="A905" s="4" t="s">
        <v>150</v>
      </c>
      <c r="B905" s="1" t="s">
        <v>1</v>
      </c>
      <c r="C905" s="2" t="s">
        <v>522</v>
      </c>
    </row>
    <row r="906" spans="1:3" x14ac:dyDescent="0.25">
      <c r="A906" s="4" t="s">
        <v>120</v>
      </c>
      <c r="B906" s="1" t="s">
        <v>1</v>
      </c>
      <c r="C906" s="2" t="s">
        <v>743</v>
      </c>
    </row>
    <row r="908" spans="1:3" s="7" customFormat="1" ht="15.75" x14ac:dyDescent="0.3">
      <c r="A908" s="5" t="s">
        <v>523</v>
      </c>
      <c r="B908" s="5"/>
      <c r="C908" s="6"/>
    </row>
    <row r="909" spans="1:3" x14ac:dyDescent="0.25">
      <c r="A909" s="4" t="s">
        <v>154</v>
      </c>
      <c r="B909" s="1" t="s">
        <v>1</v>
      </c>
      <c r="C909" s="2" t="s">
        <v>516</v>
      </c>
    </row>
    <row r="910" spans="1:3" x14ac:dyDescent="0.25">
      <c r="A910" s="4" t="s">
        <v>152</v>
      </c>
      <c r="B910" s="1" t="s">
        <v>1</v>
      </c>
      <c r="C910" s="2">
        <v>1</v>
      </c>
    </row>
    <row r="911" spans="1:3" x14ac:dyDescent="0.25">
      <c r="A911" s="4" t="s">
        <v>151</v>
      </c>
      <c r="B911" s="1" t="s">
        <v>1</v>
      </c>
      <c r="C911" s="2">
        <v>1</v>
      </c>
    </row>
    <row r="912" spans="1:3" x14ac:dyDescent="0.25">
      <c r="A912" s="4" t="s">
        <v>150</v>
      </c>
      <c r="B912" s="1" t="s">
        <v>1</v>
      </c>
      <c r="C912" s="2" t="s">
        <v>524</v>
      </c>
    </row>
    <row r="913" spans="1:3" x14ac:dyDescent="0.25">
      <c r="A913" s="4" t="s">
        <v>120</v>
      </c>
      <c r="B913" s="1" t="s">
        <v>1</v>
      </c>
      <c r="C913" s="2" t="s">
        <v>744</v>
      </c>
    </row>
    <row r="915" spans="1:3" s="7" customFormat="1" ht="15.75" x14ac:dyDescent="0.3">
      <c r="A915" s="5" t="s">
        <v>525</v>
      </c>
      <c r="B915" s="5"/>
      <c r="C915" s="6"/>
    </row>
    <row r="916" spans="1:3" x14ac:dyDescent="0.25">
      <c r="A916" s="4" t="s">
        <v>154</v>
      </c>
      <c r="B916" s="1" t="s">
        <v>1</v>
      </c>
      <c r="C916" s="2" t="s">
        <v>516</v>
      </c>
    </row>
    <row r="917" spans="1:3" x14ac:dyDescent="0.25">
      <c r="A917" s="4" t="s">
        <v>152</v>
      </c>
      <c r="B917" s="1" t="s">
        <v>1</v>
      </c>
      <c r="C917" s="2">
        <v>1</v>
      </c>
    </row>
    <row r="918" spans="1:3" x14ac:dyDescent="0.25">
      <c r="A918" s="4" t="s">
        <v>151</v>
      </c>
      <c r="B918" s="1" t="s">
        <v>1</v>
      </c>
      <c r="C918" s="2">
        <v>1</v>
      </c>
    </row>
    <row r="919" spans="1:3" x14ac:dyDescent="0.25">
      <c r="A919" s="4" t="s">
        <v>150</v>
      </c>
      <c r="B919" s="1" t="s">
        <v>1</v>
      </c>
      <c r="C919" s="2" t="s">
        <v>526</v>
      </c>
    </row>
    <row r="920" spans="1:3" x14ac:dyDescent="0.25">
      <c r="A920" s="4" t="s">
        <v>120</v>
      </c>
      <c r="B920" s="1" t="s">
        <v>1</v>
      </c>
      <c r="C920" s="2" t="s">
        <v>745</v>
      </c>
    </row>
    <row r="922" spans="1:3" s="7" customFormat="1" ht="15.75" x14ac:dyDescent="0.3">
      <c r="A922" s="5" t="s">
        <v>527</v>
      </c>
      <c r="B922" s="5"/>
      <c r="C922" s="6"/>
    </row>
    <row r="923" spans="1:3" x14ac:dyDescent="0.25">
      <c r="A923" s="4" t="s">
        <v>154</v>
      </c>
      <c r="B923" s="1" t="s">
        <v>1</v>
      </c>
      <c r="C923" s="2" t="s">
        <v>528</v>
      </c>
    </row>
    <row r="924" spans="1:3" x14ac:dyDescent="0.25">
      <c r="A924" s="4" t="s">
        <v>152</v>
      </c>
      <c r="B924" s="1" t="s">
        <v>1</v>
      </c>
      <c r="C924" s="2">
        <v>1</v>
      </c>
    </row>
    <row r="925" spans="1:3" x14ac:dyDescent="0.25">
      <c r="A925" s="4" t="s">
        <v>151</v>
      </c>
      <c r="B925" s="1" t="s">
        <v>1</v>
      </c>
      <c r="C925" s="2">
        <v>1</v>
      </c>
    </row>
    <row r="926" spans="1:3" x14ac:dyDescent="0.25">
      <c r="A926" s="4" t="s">
        <v>150</v>
      </c>
      <c r="B926" s="1" t="s">
        <v>1</v>
      </c>
      <c r="C926" s="2" t="s">
        <v>529</v>
      </c>
    </row>
    <row r="927" spans="1:3" x14ac:dyDescent="0.25">
      <c r="A927" s="4" t="s">
        <v>120</v>
      </c>
      <c r="B927" s="1" t="s">
        <v>1</v>
      </c>
      <c r="C927" s="2" t="s">
        <v>530</v>
      </c>
    </row>
    <row r="929" spans="1:3" s="7" customFormat="1" ht="15.75" x14ac:dyDescent="0.3">
      <c r="A929" s="5" t="s">
        <v>531</v>
      </c>
      <c r="B929" s="5"/>
      <c r="C929" s="6"/>
    </row>
    <row r="930" spans="1:3" x14ac:dyDescent="0.25">
      <c r="A930" s="4" t="s">
        <v>154</v>
      </c>
      <c r="B930" s="1" t="s">
        <v>1</v>
      </c>
      <c r="C930" s="2" t="s">
        <v>528</v>
      </c>
    </row>
    <row r="931" spans="1:3" x14ac:dyDescent="0.25">
      <c r="A931" s="4" t="s">
        <v>152</v>
      </c>
      <c r="B931" s="1" t="s">
        <v>1</v>
      </c>
      <c r="C931" s="2">
        <v>1</v>
      </c>
    </row>
    <row r="932" spans="1:3" x14ac:dyDescent="0.25">
      <c r="A932" s="4" t="s">
        <v>151</v>
      </c>
      <c r="B932" s="1" t="s">
        <v>1</v>
      </c>
      <c r="C932" s="2">
        <v>1</v>
      </c>
    </row>
    <row r="933" spans="1:3" x14ac:dyDescent="0.25">
      <c r="A933" s="4" t="s">
        <v>150</v>
      </c>
      <c r="B933" s="1" t="s">
        <v>1</v>
      </c>
      <c r="C933" s="2" t="s">
        <v>532</v>
      </c>
    </row>
    <row r="934" spans="1:3" x14ac:dyDescent="0.25">
      <c r="A934" s="4" t="s">
        <v>120</v>
      </c>
      <c r="B934" s="1" t="s">
        <v>1</v>
      </c>
      <c r="C934" s="2" t="s">
        <v>746</v>
      </c>
    </row>
    <row r="936" spans="1:3" s="7" customFormat="1" ht="15.75" x14ac:dyDescent="0.3">
      <c r="A936" s="5" t="s">
        <v>533</v>
      </c>
      <c r="B936" s="5"/>
      <c r="C936" s="6"/>
    </row>
    <row r="937" spans="1:3" x14ac:dyDescent="0.25">
      <c r="A937" s="4" t="s">
        <v>154</v>
      </c>
      <c r="B937" s="1" t="s">
        <v>1</v>
      </c>
      <c r="C937" s="2" t="s">
        <v>528</v>
      </c>
    </row>
    <row r="938" spans="1:3" x14ac:dyDescent="0.25">
      <c r="A938" s="4" t="s">
        <v>152</v>
      </c>
      <c r="B938" s="1" t="s">
        <v>1</v>
      </c>
      <c r="C938" s="2">
        <v>1</v>
      </c>
    </row>
    <row r="939" spans="1:3" x14ac:dyDescent="0.25">
      <c r="A939" s="4" t="s">
        <v>151</v>
      </c>
      <c r="B939" s="1" t="s">
        <v>1</v>
      </c>
      <c r="C939" s="2">
        <v>1</v>
      </c>
    </row>
    <row r="940" spans="1:3" x14ac:dyDescent="0.25">
      <c r="A940" s="4" t="s">
        <v>150</v>
      </c>
      <c r="B940" s="1" t="s">
        <v>1</v>
      </c>
      <c r="C940" s="2" t="s">
        <v>534</v>
      </c>
    </row>
    <row r="941" spans="1:3" x14ac:dyDescent="0.25">
      <c r="A941" s="4" t="s">
        <v>120</v>
      </c>
      <c r="B941" s="1" t="s">
        <v>1</v>
      </c>
      <c r="C941" s="2" t="s">
        <v>747</v>
      </c>
    </row>
    <row r="943" spans="1:3" s="7" customFormat="1" ht="15.75" x14ac:dyDescent="0.3">
      <c r="A943" s="5" t="s">
        <v>535</v>
      </c>
      <c r="B943" s="5"/>
      <c r="C943" s="6"/>
    </row>
    <row r="944" spans="1:3" x14ac:dyDescent="0.25">
      <c r="A944" s="4" t="s">
        <v>154</v>
      </c>
      <c r="B944" s="1" t="s">
        <v>1</v>
      </c>
      <c r="C944" s="2" t="s">
        <v>528</v>
      </c>
    </row>
    <row r="945" spans="1:3" x14ac:dyDescent="0.25">
      <c r="A945" s="4" t="s">
        <v>152</v>
      </c>
      <c r="B945" s="1" t="s">
        <v>1</v>
      </c>
      <c r="C945" s="2">
        <v>1</v>
      </c>
    </row>
    <row r="946" spans="1:3" x14ac:dyDescent="0.25">
      <c r="A946" s="4" t="s">
        <v>151</v>
      </c>
      <c r="B946" s="1" t="s">
        <v>1</v>
      </c>
      <c r="C946" s="2">
        <v>1</v>
      </c>
    </row>
    <row r="947" spans="1:3" x14ac:dyDescent="0.25">
      <c r="A947" s="4" t="s">
        <v>150</v>
      </c>
      <c r="B947" s="1" t="s">
        <v>1</v>
      </c>
      <c r="C947" s="2" t="s">
        <v>536</v>
      </c>
    </row>
    <row r="948" spans="1:3" x14ac:dyDescent="0.25">
      <c r="A948" s="4" t="s">
        <v>120</v>
      </c>
      <c r="B948" s="1" t="s">
        <v>1</v>
      </c>
      <c r="C948" s="2" t="s">
        <v>748</v>
      </c>
    </row>
    <row r="950" spans="1:3" s="7" customFormat="1" ht="15.75" x14ac:dyDescent="0.3">
      <c r="A950" s="5" t="s">
        <v>537</v>
      </c>
      <c r="B950" s="5"/>
      <c r="C950" s="6"/>
    </row>
    <row r="951" spans="1:3" x14ac:dyDescent="0.25">
      <c r="A951" s="4" t="s">
        <v>154</v>
      </c>
      <c r="B951" s="1" t="s">
        <v>1</v>
      </c>
      <c r="C951" s="2" t="s">
        <v>528</v>
      </c>
    </row>
    <row r="952" spans="1:3" x14ac:dyDescent="0.25">
      <c r="A952" s="4" t="s">
        <v>152</v>
      </c>
      <c r="B952" s="1" t="s">
        <v>1</v>
      </c>
      <c r="C952" s="2">
        <v>1</v>
      </c>
    </row>
    <row r="953" spans="1:3" x14ac:dyDescent="0.25">
      <c r="A953" s="4" t="s">
        <v>151</v>
      </c>
      <c r="B953" s="1" t="s">
        <v>1</v>
      </c>
      <c r="C953" s="2">
        <v>1</v>
      </c>
    </row>
    <row r="954" spans="1:3" x14ac:dyDescent="0.25">
      <c r="A954" s="4" t="s">
        <v>150</v>
      </c>
      <c r="B954" s="1" t="s">
        <v>1</v>
      </c>
      <c r="C954" s="2" t="s">
        <v>538</v>
      </c>
    </row>
    <row r="955" spans="1:3" x14ac:dyDescent="0.25">
      <c r="A955" s="4" t="s">
        <v>120</v>
      </c>
      <c r="B955" s="1" t="s">
        <v>1</v>
      </c>
      <c r="C955" s="2" t="s">
        <v>749</v>
      </c>
    </row>
    <row r="957" spans="1:3" s="7" customFormat="1" ht="15.75" x14ac:dyDescent="0.3">
      <c r="A957" s="5" t="s">
        <v>539</v>
      </c>
      <c r="B957" s="5"/>
      <c r="C957" s="6"/>
    </row>
    <row r="958" spans="1:3" x14ac:dyDescent="0.25">
      <c r="A958" s="4" t="s">
        <v>264</v>
      </c>
      <c r="B958" s="1" t="s">
        <v>1</v>
      </c>
      <c r="C958" s="2" t="s">
        <v>77</v>
      </c>
    </row>
    <row r="959" spans="1:3" x14ac:dyDescent="0.25">
      <c r="A959" s="4" t="s">
        <v>154</v>
      </c>
      <c r="B959" s="1" t="s">
        <v>1</v>
      </c>
      <c r="C959" s="2" t="s">
        <v>192</v>
      </c>
    </row>
    <row r="960" spans="1:3" x14ac:dyDescent="0.25">
      <c r="A960" s="4" t="s">
        <v>152</v>
      </c>
      <c r="B960" s="1" t="s">
        <v>1</v>
      </c>
      <c r="C960" s="2">
        <v>1</v>
      </c>
    </row>
    <row r="961" spans="1:3" x14ac:dyDescent="0.25">
      <c r="A961" s="4" t="s">
        <v>151</v>
      </c>
      <c r="B961" s="1" t="s">
        <v>1</v>
      </c>
      <c r="C961" s="2">
        <v>1</v>
      </c>
    </row>
    <row r="962" spans="1:3" x14ac:dyDescent="0.25">
      <c r="A962" s="4" t="s">
        <v>150</v>
      </c>
      <c r="B962" s="1" t="s">
        <v>1</v>
      </c>
      <c r="C962" s="2" t="s">
        <v>540</v>
      </c>
    </row>
    <row r="963" spans="1:3" x14ac:dyDescent="0.25">
      <c r="A963" s="4" t="s">
        <v>120</v>
      </c>
      <c r="B963" s="1" t="s">
        <v>1</v>
      </c>
      <c r="C963" s="2" t="s">
        <v>750</v>
      </c>
    </row>
    <row r="965" spans="1:3" s="7" customFormat="1" ht="15.75" x14ac:dyDescent="0.3">
      <c r="A965" s="5" t="s">
        <v>541</v>
      </c>
      <c r="B965" s="5"/>
      <c r="C965" s="6"/>
    </row>
    <row r="966" spans="1:3" x14ac:dyDescent="0.25">
      <c r="A966" s="4" t="s">
        <v>264</v>
      </c>
      <c r="B966" s="1" t="s">
        <v>1</v>
      </c>
      <c r="C966" s="2" t="s">
        <v>77</v>
      </c>
    </row>
    <row r="967" spans="1:3" x14ac:dyDescent="0.25">
      <c r="A967" s="4" t="s">
        <v>154</v>
      </c>
      <c r="B967" s="1" t="s">
        <v>1</v>
      </c>
      <c r="C967" s="2" t="s">
        <v>192</v>
      </c>
    </row>
    <row r="968" spans="1:3" x14ac:dyDescent="0.25">
      <c r="A968" s="4" t="s">
        <v>152</v>
      </c>
      <c r="B968" s="1" t="s">
        <v>1</v>
      </c>
      <c r="C968" s="2">
        <v>1</v>
      </c>
    </row>
    <row r="969" spans="1:3" x14ac:dyDescent="0.25">
      <c r="A969" s="4" t="s">
        <v>151</v>
      </c>
      <c r="B969" s="1" t="s">
        <v>1</v>
      </c>
      <c r="C969" s="2">
        <v>1</v>
      </c>
    </row>
    <row r="970" spans="1:3" x14ac:dyDescent="0.25">
      <c r="A970" s="4" t="s">
        <v>150</v>
      </c>
      <c r="B970" s="1" t="s">
        <v>1</v>
      </c>
      <c r="C970" s="2" t="s">
        <v>542</v>
      </c>
    </row>
    <row r="971" spans="1:3" x14ac:dyDescent="0.25">
      <c r="A971" s="4" t="s">
        <v>120</v>
      </c>
      <c r="B971" s="1" t="s">
        <v>1</v>
      </c>
      <c r="C971" s="2" t="s">
        <v>751</v>
      </c>
    </row>
    <row r="973" spans="1:3" s="7" customFormat="1" ht="15.75" x14ac:dyDescent="0.3">
      <c r="A973" s="5" t="s">
        <v>543</v>
      </c>
      <c r="B973" s="5"/>
      <c r="C973" s="6"/>
    </row>
    <row r="974" spans="1:3" x14ac:dyDescent="0.25">
      <c r="A974" s="4" t="s">
        <v>264</v>
      </c>
      <c r="B974" s="1" t="s">
        <v>1</v>
      </c>
      <c r="C974" s="2" t="s">
        <v>77</v>
      </c>
    </row>
    <row r="975" spans="1:3" x14ac:dyDescent="0.25">
      <c r="A975" s="4" t="s">
        <v>154</v>
      </c>
      <c r="B975" s="1" t="s">
        <v>1</v>
      </c>
      <c r="C975" s="2" t="s">
        <v>192</v>
      </c>
    </row>
    <row r="976" spans="1:3" x14ac:dyDescent="0.25">
      <c r="A976" s="4" t="s">
        <v>152</v>
      </c>
      <c r="B976" s="1" t="s">
        <v>1</v>
      </c>
      <c r="C976" s="2">
        <v>1</v>
      </c>
    </row>
    <row r="977" spans="1:3" x14ac:dyDescent="0.25">
      <c r="A977" s="4" t="s">
        <v>151</v>
      </c>
      <c r="B977" s="1" t="s">
        <v>1</v>
      </c>
      <c r="C977" s="2">
        <v>1</v>
      </c>
    </row>
    <row r="978" spans="1:3" x14ac:dyDescent="0.25">
      <c r="A978" s="4" t="s">
        <v>150</v>
      </c>
      <c r="B978" s="1" t="s">
        <v>1</v>
      </c>
      <c r="C978" s="2" t="s">
        <v>540</v>
      </c>
    </row>
    <row r="979" spans="1:3" x14ac:dyDescent="0.25">
      <c r="A979" s="4" t="s">
        <v>120</v>
      </c>
      <c r="B979" s="1" t="s">
        <v>1</v>
      </c>
      <c r="C979" s="2" t="s">
        <v>752</v>
      </c>
    </row>
    <row r="981" spans="1:3" s="7" customFormat="1" ht="15.75" x14ac:dyDescent="0.3">
      <c r="A981" s="5" t="s">
        <v>544</v>
      </c>
      <c r="B981" s="5"/>
      <c r="C981" s="6"/>
    </row>
    <row r="982" spans="1:3" x14ac:dyDescent="0.25">
      <c r="A982" s="4" t="s">
        <v>264</v>
      </c>
      <c r="B982" s="1" t="s">
        <v>1</v>
      </c>
      <c r="C982" s="2" t="s">
        <v>77</v>
      </c>
    </row>
    <row r="983" spans="1:3" x14ac:dyDescent="0.25">
      <c r="A983" s="4" t="s">
        <v>154</v>
      </c>
      <c r="B983" s="1" t="s">
        <v>1</v>
      </c>
      <c r="C983" s="2" t="s">
        <v>192</v>
      </c>
    </row>
    <row r="984" spans="1:3" x14ac:dyDescent="0.25">
      <c r="A984" s="4" t="s">
        <v>152</v>
      </c>
      <c r="B984" s="1" t="s">
        <v>1</v>
      </c>
      <c r="C984" s="2">
        <v>1</v>
      </c>
    </row>
    <row r="985" spans="1:3" x14ac:dyDescent="0.25">
      <c r="A985" s="4" t="s">
        <v>151</v>
      </c>
      <c r="B985" s="1" t="s">
        <v>1</v>
      </c>
      <c r="C985" s="2">
        <v>1</v>
      </c>
    </row>
    <row r="986" spans="1:3" x14ac:dyDescent="0.25">
      <c r="A986" s="4" t="s">
        <v>150</v>
      </c>
      <c r="B986" s="1" t="s">
        <v>1</v>
      </c>
      <c r="C986" s="2" t="s">
        <v>542</v>
      </c>
    </row>
    <row r="987" spans="1:3" x14ac:dyDescent="0.25">
      <c r="A987" s="4" t="s">
        <v>120</v>
      </c>
      <c r="B987" s="1" t="s">
        <v>1</v>
      </c>
      <c r="C987" s="2" t="s">
        <v>753</v>
      </c>
    </row>
    <row r="989" spans="1:3" s="7" customFormat="1" ht="15.75" x14ac:dyDescent="0.3">
      <c r="A989" s="5" t="s">
        <v>545</v>
      </c>
      <c r="B989" s="5"/>
      <c r="C989" s="6"/>
    </row>
    <row r="990" spans="1:3" x14ac:dyDescent="0.25">
      <c r="A990" s="4" t="s">
        <v>264</v>
      </c>
      <c r="B990" s="1" t="s">
        <v>1</v>
      </c>
      <c r="C990" s="2" t="s">
        <v>272</v>
      </c>
    </row>
    <row r="991" spans="1:3" x14ac:dyDescent="0.25">
      <c r="A991" s="4" t="s">
        <v>154</v>
      </c>
      <c r="B991" s="1" t="s">
        <v>1</v>
      </c>
      <c r="C991" s="2" t="s">
        <v>192</v>
      </c>
    </row>
    <row r="992" spans="1:3" x14ac:dyDescent="0.25">
      <c r="A992" s="4" t="s">
        <v>152</v>
      </c>
      <c r="B992" s="1" t="s">
        <v>1</v>
      </c>
      <c r="C992" s="2">
        <v>1</v>
      </c>
    </row>
    <row r="993" spans="1:3" x14ac:dyDescent="0.25">
      <c r="A993" s="4" t="s">
        <v>151</v>
      </c>
      <c r="B993" s="1" t="s">
        <v>1</v>
      </c>
      <c r="C993" s="2">
        <v>1</v>
      </c>
    </row>
    <row r="994" spans="1:3" x14ac:dyDescent="0.25">
      <c r="A994" s="4" t="s">
        <v>150</v>
      </c>
      <c r="B994" s="1" t="s">
        <v>1</v>
      </c>
      <c r="C994" s="2" t="s">
        <v>546</v>
      </c>
    </row>
    <row r="995" spans="1:3" x14ac:dyDescent="0.25">
      <c r="A995" s="4" t="s">
        <v>120</v>
      </c>
      <c r="B995" s="1" t="s">
        <v>1</v>
      </c>
      <c r="C995" s="2" t="s">
        <v>750</v>
      </c>
    </row>
    <row r="997" spans="1:3" s="7" customFormat="1" ht="15.75" x14ac:dyDescent="0.3">
      <c r="A997" s="5" t="s">
        <v>547</v>
      </c>
      <c r="B997" s="5"/>
      <c r="C997" s="6"/>
    </row>
    <row r="998" spans="1:3" x14ac:dyDescent="0.25">
      <c r="A998" s="4" t="s">
        <v>264</v>
      </c>
      <c r="B998" s="1" t="s">
        <v>1</v>
      </c>
      <c r="C998" s="2" t="s">
        <v>272</v>
      </c>
    </row>
    <row r="999" spans="1:3" x14ac:dyDescent="0.25">
      <c r="A999" s="4" t="s">
        <v>154</v>
      </c>
      <c r="B999" s="1" t="s">
        <v>1</v>
      </c>
      <c r="C999" s="2" t="s">
        <v>192</v>
      </c>
    </row>
    <row r="1000" spans="1:3" x14ac:dyDescent="0.25">
      <c r="A1000" s="4" t="s">
        <v>152</v>
      </c>
      <c r="B1000" s="1" t="s">
        <v>1</v>
      </c>
      <c r="C1000" s="2">
        <v>1</v>
      </c>
    </row>
    <row r="1001" spans="1:3" x14ac:dyDescent="0.25">
      <c r="A1001" s="4" t="s">
        <v>151</v>
      </c>
      <c r="B1001" s="1" t="s">
        <v>1</v>
      </c>
      <c r="C1001" s="2">
        <v>1</v>
      </c>
    </row>
    <row r="1002" spans="1:3" x14ac:dyDescent="0.25">
      <c r="A1002" s="4" t="s">
        <v>150</v>
      </c>
      <c r="B1002" s="1" t="s">
        <v>1</v>
      </c>
      <c r="C1002" s="2" t="s">
        <v>548</v>
      </c>
    </row>
    <row r="1003" spans="1:3" x14ac:dyDescent="0.25">
      <c r="A1003" s="4" t="s">
        <v>120</v>
      </c>
      <c r="B1003" s="1" t="s">
        <v>1</v>
      </c>
      <c r="C1003" s="2" t="s">
        <v>751</v>
      </c>
    </row>
    <row r="1005" spans="1:3" s="7" customFormat="1" ht="15.75" x14ac:dyDescent="0.3">
      <c r="A1005" s="5" t="s">
        <v>549</v>
      </c>
      <c r="B1005" s="5"/>
      <c r="C1005" s="6"/>
    </row>
    <row r="1006" spans="1:3" x14ac:dyDescent="0.25">
      <c r="A1006" s="4" t="s">
        <v>264</v>
      </c>
      <c r="B1006" s="1" t="s">
        <v>1</v>
      </c>
      <c r="C1006" s="2" t="s">
        <v>272</v>
      </c>
    </row>
    <row r="1007" spans="1:3" x14ac:dyDescent="0.25">
      <c r="A1007" s="4" t="s">
        <v>154</v>
      </c>
      <c r="B1007" s="1" t="s">
        <v>1</v>
      </c>
      <c r="C1007" s="2" t="s">
        <v>192</v>
      </c>
    </row>
    <row r="1008" spans="1:3" x14ac:dyDescent="0.25">
      <c r="A1008" s="4" t="s">
        <v>152</v>
      </c>
      <c r="B1008" s="1" t="s">
        <v>1</v>
      </c>
      <c r="C1008" s="2">
        <v>1</v>
      </c>
    </row>
    <row r="1009" spans="1:3" x14ac:dyDescent="0.25">
      <c r="A1009" s="4" t="s">
        <v>151</v>
      </c>
      <c r="B1009" s="1" t="s">
        <v>1</v>
      </c>
      <c r="C1009" s="2">
        <v>1</v>
      </c>
    </row>
    <row r="1010" spans="1:3" x14ac:dyDescent="0.25">
      <c r="A1010" s="4" t="s">
        <v>150</v>
      </c>
      <c r="B1010" s="1" t="s">
        <v>1</v>
      </c>
      <c r="C1010" s="2" t="s">
        <v>546</v>
      </c>
    </row>
    <row r="1011" spans="1:3" x14ac:dyDescent="0.25">
      <c r="A1011" s="4" t="s">
        <v>120</v>
      </c>
      <c r="B1011" s="1" t="s">
        <v>1</v>
      </c>
      <c r="C1011" s="2" t="s">
        <v>752</v>
      </c>
    </row>
    <row r="1013" spans="1:3" s="7" customFormat="1" ht="15.75" x14ac:dyDescent="0.3">
      <c r="A1013" s="5" t="s">
        <v>550</v>
      </c>
      <c r="B1013" s="5"/>
      <c r="C1013" s="6"/>
    </row>
    <row r="1014" spans="1:3" x14ac:dyDescent="0.25">
      <c r="A1014" s="4" t="s">
        <v>264</v>
      </c>
      <c r="B1014" s="1" t="s">
        <v>1</v>
      </c>
      <c r="C1014" s="2" t="s">
        <v>272</v>
      </c>
    </row>
    <row r="1015" spans="1:3" x14ac:dyDescent="0.25">
      <c r="A1015" s="4" t="s">
        <v>154</v>
      </c>
      <c r="B1015" s="1" t="s">
        <v>1</v>
      </c>
      <c r="C1015" s="2" t="s">
        <v>192</v>
      </c>
    </row>
    <row r="1016" spans="1:3" x14ac:dyDescent="0.25">
      <c r="A1016" s="4" t="s">
        <v>152</v>
      </c>
      <c r="B1016" s="1" t="s">
        <v>1</v>
      </c>
      <c r="C1016" s="2">
        <v>1</v>
      </c>
    </row>
    <row r="1017" spans="1:3" x14ac:dyDescent="0.25">
      <c r="A1017" s="4" t="s">
        <v>151</v>
      </c>
      <c r="B1017" s="1" t="s">
        <v>1</v>
      </c>
      <c r="C1017" s="2">
        <v>1</v>
      </c>
    </row>
    <row r="1018" spans="1:3" x14ac:dyDescent="0.25">
      <c r="A1018" s="4" t="s">
        <v>150</v>
      </c>
      <c r="B1018" s="1" t="s">
        <v>1</v>
      </c>
      <c r="C1018" s="2" t="s">
        <v>548</v>
      </c>
    </row>
    <row r="1019" spans="1:3" x14ac:dyDescent="0.25">
      <c r="A1019" s="4" t="s">
        <v>120</v>
      </c>
      <c r="B1019" s="1" t="s">
        <v>1</v>
      </c>
      <c r="C1019" s="2" t="s">
        <v>753</v>
      </c>
    </row>
    <row r="1021" spans="1:3" s="7" customFormat="1" ht="15.75" x14ac:dyDescent="0.3">
      <c r="A1021" s="5" t="s">
        <v>551</v>
      </c>
      <c r="B1021" s="5"/>
      <c r="C1021" s="6"/>
    </row>
    <row r="1022" spans="1:3" x14ac:dyDescent="0.25">
      <c r="A1022" s="4" t="s">
        <v>154</v>
      </c>
      <c r="B1022" s="1" t="s">
        <v>1</v>
      </c>
      <c r="C1022" s="2" t="s">
        <v>192</v>
      </c>
    </row>
    <row r="1023" spans="1:3" x14ac:dyDescent="0.25">
      <c r="A1023" s="4" t="s">
        <v>152</v>
      </c>
      <c r="B1023" s="1" t="s">
        <v>1</v>
      </c>
      <c r="C1023" s="2">
        <v>1</v>
      </c>
    </row>
    <row r="1024" spans="1:3" x14ac:dyDescent="0.25">
      <c r="A1024" s="4" t="s">
        <v>151</v>
      </c>
      <c r="B1024" s="1" t="s">
        <v>1</v>
      </c>
      <c r="C1024" s="2">
        <v>1</v>
      </c>
    </row>
    <row r="1025" spans="1:3" x14ac:dyDescent="0.25">
      <c r="A1025" s="4" t="s">
        <v>150</v>
      </c>
      <c r="B1025" s="1" t="s">
        <v>1</v>
      </c>
      <c r="C1025" s="2" t="s">
        <v>552</v>
      </c>
    </row>
    <row r="1026" spans="1:3" x14ac:dyDescent="0.25">
      <c r="A1026" s="4" t="s">
        <v>120</v>
      </c>
      <c r="B1026" s="1" t="s">
        <v>1</v>
      </c>
      <c r="C1026" s="2" t="s">
        <v>553</v>
      </c>
    </row>
    <row r="1028" spans="1:3" s="7" customFormat="1" ht="15.75" x14ac:dyDescent="0.3">
      <c r="A1028" s="5" t="s">
        <v>554</v>
      </c>
      <c r="B1028" s="5"/>
      <c r="C1028" s="6"/>
    </row>
    <row r="1029" spans="1:3" x14ac:dyDescent="0.25">
      <c r="A1029" s="4" t="s">
        <v>154</v>
      </c>
      <c r="B1029" s="1" t="s">
        <v>1</v>
      </c>
      <c r="C1029" s="2" t="s">
        <v>192</v>
      </c>
    </row>
    <row r="1030" spans="1:3" x14ac:dyDescent="0.25">
      <c r="A1030" s="4" t="s">
        <v>152</v>
      </c>
      <c r="B1030" s="1" t="s">
        <v>1</v>
      </c>
      <c r="C1030" s="2">
        <v>1</v>
      </c>
    </row>
    <row r="1031" spans="1:3" x14ac:dyDescent="0.25">
      <c r="A1031" s="4" t="s">
        <v>151</v>
      </c>
      <c r="B1031" s="1" t="s">
        <v>1</v>
      </c>
      <c r="C1031" s="2">
        <v>1</v>
      </c>
    </row>
    <row r="1032" spans="1:3" x14ac:dyDescent="0.25">
      <c r="A1032" s="4" t="s">
        <v>150</v>
      </c>
      <c r="B1032" s="1" t="s">
        <v>1</v>
      </c>
      <c r="C1032" s="2" t="s">
        <v>555</v>
      </c>
    </row>
    <row r="1033" spans="1:3" x14ac:dyDescent="0.25">
      <c r="A1033" s="4" t="s">
        <v>120</v>
      </c>
      <c r="B1033" s="1" t="s">
        <v>1</v>
      </c>
      <c r="C1033" s="2" t="s">
        <v>556</v>
      </c>
    </row>
    <row r="1035" spans="1:3" s="7" customFormat="1" ht="15.75" x14ac:dyDescent="0.3">
      <c r="A1035" s="5" t="s">
        <v>557</v>
      </c>
      <c r="B1035" s="5"/>
      <c r="C1035" s="6"/>
    </row>
    <row r="1036" spans="1:3" x14ac:dyDescent="0.25">
      <c r="A1036" s="4" t="s">
        <v>154</v>
      </c>
      <c r="B1036" s="1" t="s">
        <v>1</v>
      </c>
      <c r="C1036" s="2" t="s">
        <v>558</v>
      </c>
    </row>
    <row r="1037" spans="1:3" x14ac:dyDescent="0.25">
      <c r="A1037" s="4" t="s">
        <v>152</v>
      </c>
      <c r="B1037" s="1" t="s">
        <v>1</v>
      </c>
      <c r="C1037" s="2">
        <v>2</v>
      </c>
    </row>
    <row r="1038" spans="1:3" x14ac:dyDescent="0.25">
      <c r="A1038" s="4" t="s">
        <v>151</v>
      </c>
      <c r="B1038" s="1" t="s">
        <v>1</v>
      </c>
      <c r="C1038" s="2">
        <v>2</v>
      </c>
    </row>
    <row r="1039" spans="1:3" x14ac:dyDescent="0.25">
      <c r="A1039" s="4" t="s">
        <v>150</v>
      </c>
      <c r="B1039" s="1" t="s">
        <v>1</v>
      </c>
      <c r="C1039" s="2" t="s">
        <v>911</v>
      </c>
    </row>
    <row r="1040" spans="1:3" x14ac:dyDescent="0.25">
      <c r="A1040" s="4" t="s">
        <v>149</v>
      </c>
      <c r="B1040" s="1" t="s">
        <v>1</v>
      </c>
      <c r="C1040" s="2" t="s">
        <v>910</v>
      </c>
    </row>
    <row r="1041" spans="1:3" x14ac:dyDescent="0.25">
      <c r="A1041" s="4" t="s">
        <v>120</v>
      </c>
      <c r="B1041" s="1" t="s">
        <v>1</v>
      </c>
      <c r="C1041" s="2" t="s">
        <v>848</v>
      </c>
    </row>
    <row r="1042" spans="1:3" x14ac:dyDescent="0.25">
      <c r="A1042" s="4" t="s">
        <v>119</v>
      </c>
      <c r="B1042" s="1" t="s">
        <v>1</v>
      </c>
      <c r="C1042" s="2" t="s">
        <v>559</v>
      </c>
    </row>
    <row r="1044" spans="1:3" s="7" customFormat="1" ht="15.75" x14ac:dyDescent="0.3">
      <c r="A1044" s="5" t="s">
        <v>560</v>
      </c>
      <c r="B1044" s="5"/>
      <c r="C1044" s="6"/>
    </row>
    <row r="1045" spans="1:3" x14ac:dyDescent="0.25">
      <c r="A1045" s="4" t="s">
        <v>154</v>
      </c>
      <c r="B1045" s="1" t="s">
        <v>1</v>
      </c>
      <c r="C1045" s="2" t="s">
        <v>558</v>
      </c>
    </row>
    <row r="1046" spans="1:3" x14ac:dyDescent="0.25">
      <c r="A1046" s="4" t="s">
        <v>152</v>
      </c>
      <c r="B1046" s="1" t="s">
        <v>1</v>
      </c>
      <c r="C1046" s="2">
        <v>2</v>
      </c>
    </row>
    <row r="1047" spans="1:3" x14ac:dyDescent="0.25">
      <c r="A1047" s="4" t="s">
        <v>151</v>
      </c>
      <c r="B1047" s="1" t="s">
        <v>1</v>
      </c>
      <c r="C1047" s="2">
        <v>2</v>
      </c>
    </row>
    <row r="1048" spans="1:3" x14ac:dyDescent="0.25">
      <c r="A1048" s="4" t="s">
        <v>150</v>
      </c>
      <c r="B1048" s="1" t="s">
        <v>1</v>
      </c>
      <c r="C1048" s="2" t="s">
        <v>880</v>
      </c>
    </row>
    <row r="1049" spans="1:3" x14ac:dyDescent="0.25">
      <c r="A1049" s="4" t="s">
        <v>149</v>
      </c>
      <c r="B1049" s="1" t="s">
        <v>1</v>
      </c>
      <c r="C1049" s="2" t="s">
        <v>881</v>
      </c>
    </row>
    <row r="1050" spans="1:3" x14ac:dyDescent="0.25">
      <c r="A1050" s="4" t="s">
        <v>120</v>
      </c>
      <c r="B1050" s="1" t="s">
        <v>1</v>
      </c>
      <c r="C1050" s="2" t="s">
        <v>849</v>
      </c>
    </row>
    <row r="1051" spans="1:3" x14ac:dyDescent="0.25">
      <c r="A1051" s="4" t="s">
        <v>119</v>
      </c>
      <c r="B1051" s="1" t="s">
        <v>1</v>
      </c>
      <c r="C1051" s="2" t="s">
        <v>561</v>
      </c>
    </row>
    <row r="1053" spans="1:3" s="7" customFormat="1" ht="15.75" x14ac:dyDescent="0.3">
      <c r="A1053" s="5" t="s">
        <v>562</v>
      </c>
      <c r="B1053" s="5"/>
      <c r="C1053" s="6"/>
    </row>
    <row r="1054" spans="1:3" x14ac:dyDescent="0.25">
      <c r="A1054" s="4" t="s">
        <v>154</v>
      </c>
      <c r="B1054" s="1" t="s">
        <v>1</v>
      </c>
      <c r="C1054" s="2" t="s">
        <v>563</v>
      </c>
    </row>
    <row r="1055" spans="1:3" x14ac:dyDescent="0.25">
      <c r="A1055" s="4" t="s">
        <v>152</v>
      </c>
      <c r="B1055" s="1" t="s">
        <v>1</v>
      </c>
      <c r="C1055" s="2">
        <v>2</v>
      </c>
    </row>
    <row r="1056" spans="1:3" x14ac:dyDescent="0.25">
      <c r="A1056" s="4" t="s">
        <v>151</v>
      </c>
      <c r="B1056" s="1" t="s">
        <v>1</v>
      </c>
      <c r="C1056" s="2">
        <v>2</v>
      </c>
    </row>
    <row r="1057" spans="1:3" x14ac:dyDescent="0.25">
      <c r="A1057" s="4" t="s">
        <v>150</v>
      </c>
      <c r="B1057" s="1" t="s">
        <v>1</v>
      </c>
      <c r="C1057" s="2" t="s">
        <v>912</v>
      </c>
    </row>
    <row r="1058" spans="1:3" x14ac:dyDescent="0.25">
      <c r="A1058" s="4" t="s">
        <v>149</v>
      </c>
      <c r="B1058" s="1" t="s">
        <v>1</v>
      </c>
      <c r="C1058" s="2" t="s">
        <v>913</v>
      </c>
    </row>
    <row r="1059" spans="1:3" x14ac:dyDescent="0.25">
      <c r="A1059" s="4" t="s">
        <v>120</v>
      </c>
      <c r="B1059" s="1" t="s">
        <v>1</v>
      </c>
      <c r="C1059" s="2" t="s">
        <v>879</v>
      </c>
    </row>
    <row r="1060" spans="1:3" x14ac:dyDescent="0.25">
      <c r="A1060" s="4" t="s">
        <v>119</v>
      </c>
      <c r="B1060" s="1" t="s">
        <v>1</v>
      </c>
      <c r="C1060" s="2" t="s">
        <v>564</v>
      </c>
    </row>
    <row r="1062" spans="1:3" s="7" customFormat="1" ht="15.75" x14ac:dyDescent="0.3">
      <c r="A1062" s="5" t="s">
        <v>565</v>
      </c>
      <c r="B1062" s="5"/>
      <c r="C1062" s="6"/>
    </row>
    <row r="1063" spans="1:3" x14ac:dyDescent="0.25">
      <c r="A1063" s="4" t="s">
        <v>154</v>
      </c>
      <c r="B1063" s="1" t="s">
        <v>1</v>
      </c>
      <c r="C1063" s="2" t="s">
        <v>192</v>
      </c>
    </row>
    <row r="1064" spans="1:3" x14ac:dyDescent="0.25">
      <c r="A1064" s="4" t="s">
        <v>152</v>
      </c>
      <c r="B1064" s="1" t="s">
        <v>1</v>
      </c>
      <c r="C1064" s="2">
        <v>1</v>
      </c>
    </row>
    <row r="1065" spans="1:3" x14ac:dyDescent="0.25">
      <c r="A1065" s="4" t="s">
        <v>151</v>
      </c>
      <c r="B1065" s="1" t="s">
        <v>1</v>
      </c>
      <c r="C1065" s="2">
        <v>1</v>
      </c>
    </row>
    <row r="1066" spans="1:3" x14ac:dyDescent="0.25">
      <c r="A1066" s="4" t="s">
        <v>150</v>
      </c>
      <c r="B1066" s="1" t="s">
        <v>1</v>
      </c>
      <c r="C1066" s="2" t="s">
        <v>566</v>
      </c>
    </row>
    <row r="1067" spans="1:3" x14ac:dyDescent="0.25">
      <c r="A1067" s="4" t="s">
        <v>120</v>
      </c>
      <c r="B1067" s="1" t="s">
        <v>1</v>
      </c>
      <c r="C1067" s="2" t="s">
        <v>567</v>
      </c>
    </row>
    <row r="1069" spans="1:3" s="7" customFormat="1" ht="15.75" x14ac:dyDescent="0.3">
      <c r="A1069" s="5" t="s">
        <v>568</v>
      </c>
      <c r="B1069" s="5"/>
      <c r="C1069" s="6"/>
    </row>
    <row r="1070" spans="1:3" x14ac:dyDescent="0.25">
      <c r="A1070" s="4" t="s">
        <v>154</v>
      </c>
      <c r="B1070" s="1" t="s">
        <v>1</v>
      </c>
      <c r="C1070" s="2" t="s">
        <v>569</v>
      </c>
    </row>
    <row r="1071" spans="1:3" x14ac:dyDescent="0.25">
      <c r="A1071" s="4" t="s">
        <v>152</v>
      </c>
      <c r="B1071" s="1" t="s">
        <v>1</v>
      </c>
      <c r="C1071" s="2">
        <v>1</v>
      </c>
    </row>
    <row r="1072" spans="1:3" x14ac:dyDescent="0.25">
      <c r="A1072" s="4" t="s">
        <v>151</v>
      </c>
      <c r="B1072" s="1" t="s">
        <v>1</v>
      </c>
      <c r="C1072" s="2">
        <v>1</v>
      </c>
    </row>
    <row r="1073" spans="1:3" x14ac:dyDescent="0.25">
      <c r="A1073" s="4" t="s">
        <v>150</v>
      </c>
      <c r="B1073" s="1" t="s">
        <v>1</v>
      </c>
      <c r="C1073" s="2" t="s">
        <v>566</v>
      </c>
    </row>
    <row r="1074" spans="1:3" x14ac:dyDescent="0.25">
      <c r="A1074" s="4" t="s">
        <v>120</v>
      </c>
      <c r="B1074" s="1" t="s">
        <v>1</v>
      </c>
      <c r="C1074" s="2" t="s">
        <v>570</v>
      </c>
    </row>
    <row r="1076" spans="1:3" s="7" customFormat="1" ht="15.75" x14ac:dyDescent="0.3">
      <c r="A1076" s="5" t="s">
        <v>571</v>
      </c>
      <c r="B1076" s="5"/>
      <c r="C1076" s="6"/>
    </row>
    <row r="1077" spans="1:3" x14ac:dyDescent="0.25">
      <c r="A1077" s="4" t="s">
        <v>154</v>
      </c>
      <c r="B1077" s="1" t="s">
        <v>1</v>
      </c>
      <c r="C1077" s="2" t="s">
        <v>192</v>
      </c>
    </row>
    <row r="1078" spans="1:3" x14ac:dyDescent="0.25">
      <c r="A1078" s="4" t="s">
        <v>152</v>
      </c>
      <c r="B1078" s="1" t="s">
        <v>1</v>
      </c>
      <c r="C1078" s="2">
        <v>3</v>
      </c>
    </row>
    <row r="1079" spans="1:3" x14ac:dyDescent="0.25">
      <c r="A1079" s="4" t="s">
        <v>151</v>
      </c>
      <c r="B1079" s="1" t="s">
        <v>1</v>
      </c>
      <c r="C1079" s="2">
        <v>3</v>
      </c>
    </row>
    <row r="1080" spans="1:3" x14ac:dyDescent="0.25">
      <c r="A1080" s="4" t="s">
        <v>150</v>
      </c>
      <c r="B1080" s="1" t="s">
        <v>1</v>
      </c>
      <c r="C1080" s="2" t="s">
        <v>914</v>
      </c>
    </row>
    <row r="1081" spans="1:3" x14ac:dyDescent="0.25">
      <c r="A1081" s="4" t="s">
        <v>149</v>
      </c>
      <c r="B1081" s="1" t="s">
        <v>1</v>
      </c>
      <c r="C1081" s="2" t="s">
        <v>915</v>
      </c>
    </row>
    <row r="1082" spans="1:3" x14ac:dyDescent="0.25">
      <c r="A1082" s="4" t="s">
        <v>148</v>
      </c>
      <c r="B1082" s="1" t="s">
        <v>1</v>
      </c>
      <c r="C1082" s="2" t="s">
        <v>916</v>
      </c>
    </row>
    <row r="1083" spans="1:3" x14ac:dyDescent="0.25">
      <c r="A1083" s="4" t="s">
        <v>120</v>
      </c>
      <c r="B1083" s="1" t="s">
        <v>1</v>
      </c>
      <c r="C1083" s="2" t="s">
        <v>929</v>
      </c>
    </row>
    <row r="1084" spans="1:3" x14ac:dyDescent="0.25">
      <c r="A1084" s="4" t="s">
        <v>119</v>
      </c>
      <c r="B1084" s="1" t="s">
        <v>1</v>
      </c>
      <c r="C1084" s="2" t="s">
        <v>930</v>
      </c>
    </row>
    <row r="1085" spans="1:3" x14ac:dyDescent="0.25">
      <c r="A1085" s="4" t="s">
        <v>118</v>
      </c>
      <c r="B1085" s="1" t="s">
        <v>1</v>
      </c>
      <c r="C1085" s="2" t="s">
        <v>931</v>
      </c>
    </row>
    <row r="1087" spans="1:3" s="7" customFormat="1" ht="15.75" x14ac:dyDescent="0.3">
      <c r="A1087" s="5" t="s">
        <v>572</v>
      </c>
      <c r="B1087" s="5"/>
      <c r="C1087" s="6"/>
    </row>
    <row r="1088" spans="1:3" x14ac:dyDescent="0.25">
      <c r="A1088" s="4" t="s">
        <v>154</v>
      </c>
      <c r="B1088" s="1" t="s">
        <v>1</v>
      </c>
      <c r="C1088" s="2" t="s">
        <v>192</v>
      </c>
    </row>
    <row r="1089" spans="1:3" x14ac:dyDescent="0.25">
      <c r="A1089" s="4" t="s">
        <v>152</v>
      </c>
      <c r="B1089" s="1" t="s">
        <v>1</v>
      </c>
      <c r="C1089" s="2">
        <v>3</v>
      </c>
    </row>
    <row r="1090" spans="1:3" x14ac:dyDescent="0.25">
      <c r="A1090" s="4" t="s">
        <v>151</v>
      </c>
      <c r="B1090" s="1" t="s">
        <v>1</v>
      </c>
      <c r="C1090" s="2">
        <v>3</v>
      </c>
    </row>
    <row r="1091" spans="1:3" x14ac:dyDescent="0.25">
      <c r="A1091" s="4" t="s">
        <v>150</v>
      </c>
      <c r="B1091" s="1" t="s">
        <v>1</v>
      </c>
      <c r="C1091" s="2" t="s">
        <v>917</v>
      </c>
    </row>
    <row r="1092" spans="1:3" x14ac:dyDescent="0.25">
      <c r="A1092" s="4" t="s">
        <v>149</v>
      </c>
      <c r="B1092" s="1" t="s">
        <v>1</v>
      </c>
      <c r="C1092" s="2" t="s">
        <v>918</v>
      </c>
    </row>
    <row r="1093" spans="1:3" x14ac:dyDescent="0.25">
      <c r="A1093" s="4" t="s">
        <v>148</v>
      </c>
      <c r="B1093" s="1" t="s">
        <v>1</v>
      </c>
      <c r="C1093" s="2" t="s">
        <v>919</v>
      </c>
    </row>
    <row r="1094" spans="1:3" x14ac:dyDescent="0.25">
      <c r="A1094" s="4" t="s">
        <v>120</v>
      </c>
      <c r="B1094" s="1" t="s">
        <v>1</v>
      </c>
      <c r="C1094" s="2" t="s">
        <v>926</v>
      </c>
    </row>
    <row r="1095" spans="1:3" x14ac:dyDescent="0.25">
      <c r="A1095" s="4" t="s">
        <v>119</v>
      </c>
      <c r="B1095" s="1" t="s">
        <v>1</v>
      </c>
      <c r="C1095" s="2" t="s">
        <v>927</v>
      </c>
    </row>
    <row r="1096" spans="1:3" x14ac:dyDescent="0.25">
      <c r="A1096" s="4" t="s">
        <v>118</v>
      </c>
      <c r="B1096" s="1" t="s">
        <v>1</v>
      </c>
      <c r="C1096" s="2" t="s">
        <v>928</v>
      </c>
    </row>
    <row r="1098" spans="1:3" s="7" customFormat="1" ht="15.75" x14ac:dyDescent="0.3">
      <c r="A1098" s="5" t="s">
        <v>573</v>
      </c>
      <c r="B1098" s="5"/>
      <c r="C1098" s="6"/>
    </row>
    <row r="1099" spans="1:3" x14ac:dyDescent="0.25">
      <c r="A1099" s="4" t="s">
        <v>154</v>
      </c>
      <c r="B1099" s="1" t="s">
        <v>1</v>
      </c>
      <c r="C1099" s="2" t="s">
        <v>192</v>
      </c>
    </row>
    <row r="1100" spans="1:3" x14ac:dyDescent="0.25">
      <c r="A1100" s="4" t="s">
        <v>152</v>
      </c>
      <c r="B1100" s="1" t="s">
        <v>1</v>
      </c>
      <c r="C1100" s="2">
        <v>3</v>
      </c>
    </row>
    <row r="1101" spans="1:3" x14ac:dyDescent="0.25">
      <c r="A1101" s="4" t="s">
        <v>151</v>
      </c>
      <c r="B1101" s="1" t="s">
        <v>1</v>
      </c>
      <c r="C1101" s="2">
        <v>3</v>
      </c>
    </row>
    <row r="1102" spans="1:3" x14ac:dyDescent="0.25">
      <c r="A1102" s="4" t="s">
        <v>150</v>
      </c>
      <c r="B1102" s="1" t="s">
        <v>1</v>
      </c>
      <c r="C1102" s="2" t="s">
        <v>923</v>
      </c>
    </row>
    <row r="1103" spans="1:3" x14ac:dyDescent="0.25">
      <c r="A1103" s="4" t="s">
        <v>149</v>
      </c>
      <c r="B1103" s="1" t="s">
        <v>1</v>
      </c>
      <c r="C1103" s="2" t="s">
        <v>924</v>
      </c>
    </row>
    <row r="1104" spans="1:3" x14ac:dyDescent="0.25">
      <c r="A1104" s="4" t="s">
        <v>148</v>
      </c>
      <c r="B1104" s="1" t="s">
        <v>1</v>
      </c>
      <c r="C1104" s="2" t="s">
        <v>925</v>
      </c>
    </row>
    <row r="1105" spans="1:3" x14ac:dyDescent="0.25">
      <c r="A1105" s="4" t="s">
        <v>120</v>
      </c>
      <c r="B1105" s="1" t="s">
        <v>1</v>
      </c>
      <c r="C1105" s="2" t="s">
        <v>574</v>
      </c>
    </row>
    <row r="1106" spans="1:3" x14ac:dyDescent="0.25">
      <c r="A1106" s="4" t="s">
        <v>119</v>
      </c>
      <c r="B1106" s="1" t="s">
        <v>1</v>
      </c>
      <c r="C1106" s="2" t="s">
        <v>575</v>
      </c>
    </row>
    <row r="1107" spans="1:3" x14ac:dyDescent="0.25">
      <c r="A1107" s="4" t="s">
        <v>118</v>
      </c>
      <c r="B1107" s="1" t="s">
        <v>1</v>
      </c>
      <c r="C1107" s="2" t="s">
        <v>576</v>
      </c>
    </row>
    <row r="1109" spans="1:3" s="7" customFormat="1" ht="15.75" x14ac:dyDescent="0.3">
      <c r="A1109" s="5" t="s">
        <v>577</v>
      </c>
      <c r="B1109" s="5"/>
      <c r="C1109" s="6"/>
    </row>
    <row r="1110" spans="1:3" x14ac:dyDescent="0.25">
      <c r="A1110" s="4" t="s">
        <v>154</v>
      </c>
      <c r="B1110" s="1" t="s">
        <v>1</v>
      </c>
      <c r="C1110" s="2" t="s">
        <v>192</v>
      </c>
    </row>
    <row r="1111" spans="1:3" x14ac:dyDescent="0.25">
      <c r="A1111" s="4" t="s">
        <v>152</v>
      </c>
      <c r="B1111" s="1" t="s">
        <v>1</v>
      </c>
      <c r="C1111" s="2">
        <v>3</v>
      </c>
    </row>
    <row r="1112" spans="1:3" x14ac:dyDescent="0.25">
      <c r="A1112" s="4" t="s">
        <v>151</v>
      </c>
      <c r="B1112" s="1" t="s">
        <v>1</v>
      </c>
      <c r="C1112" s="2">
        <v>3</v>
      </c>
    </row>
    <row r="1113" spans="1:3" x14ac:dyDescent="0.25">
      <c r="A1113" s="4" t="s">
        <v>150</v>
      </c>
      <c r="B1113" s="1" t="s">
        <v>1</v>
      </c>
      <c r="C1113" s="2" t="s">
        <v>920</v>
      </c>
    </row>
    <row r="1114" spans="1:3" x14ac:dyDescent="0.25">
      <c r="A1114" s="4" t="s">
        <v>149</v>
      </c>
      <c r="B1114" s="1" t="s">
        <v>1</v>
      </c>
      <c r="C1114" s="2" t="s">
        <v>921</v>
      </c>
    </row>
    <row r="1115" spans="1:3" x14ac:dyDescent="0.25">
      <c r="A1115" s="4" t="s">
        <v>148</v>
      </c>
      <c r="B1115" s="1" t="s">
        <v>1</v>
      </c>
      <c r="C1115" s="2" t="s">
        <v>922</v>
      </c>
    </row>
    <row r="1116" spans="1:3" x14ac:dyDescent="0.25">
      <c r="A1116" s="4" t="s">
        <v>120</v>
      </c>
      <c r="B1116" s="1" t="s">
        <v>1</v>
      </c>
      <c r="C1116" s="2" t="s">
        <v>578</v>
      </c>
    </row>
    <row r="1117" spans="1:3" x14ac:dyDescent="0.25">
      <c r="A1117" s="4" t="s">
        <v>119</v>
      </c>
      <c r="B1117" s="1" t="s">
        <v>1</v>
      </c>
      <c r="C1117" s="2" t="s">
        <v>579</v>
      </c>
    </row>
    <row r="1118" spans="1:3" x14ac:dyDescent="0.25">
      <c r="A1118" s="4" t="s">
        <v>118</v>
      </c>
      <c r="B1118" s="1" t="s">
        <v>1</v>
      </c>
      <c r="C1118" s="2" t="s">
        <v>580</v>
      </c>
    </row>
    <row r="1120" spans="1:3" s="7" customFormat="1" ht="15.75" x14ac:dyDescent="0.3">
      <c r="A1120" s="5" t="s">
        <v>581</v>
      </c>
      <c r="B1120" s="5"/>
      <c r="C1120" s="6"/>
    </row>
    <row r="1121" spans="1:3" x14ac:dyDescent="0.25">
      <c r="A1121" s="4" t="s">
        <v>154</v>
      </c>
      <c r="B1121" s="1" t="s">
        <v>1</v>
      </c>
      <c r="C1121" s="2" t="s">
        <v>192</v>
      </c>
    </row>
    <row r="1122" spans="1:3" x14ac:dyDescent="0.25">
      <c r="A1122" s="4" t="s">
        <v>152</v>
      </c>
      <c r="B1122" s="1" t="s">
        <v>1</v>
      </c>
      <c r="C1122" s="2">
        <v>1</v>
      </c>
    </row>
    <row r="1123" spans="1:3" x14ac:dyDescent="0.25">
      <c r="A1123" s="4" t="s">
        <v>151</v>
      </c>
      <c r="B1123" s="1" t="s">
        <v>1</v>
      </c>
      <c r="C1123" s="2">
        <v>1</v>
      </c>
    </row>
    <row r="1124" spans="1:3" x14ac:dyDescent="0.25">
      <c r="A1124" s="4" t="s">
        <v>150</v>
      </c>
      <c r="B1124" s="1" t="s">
        <v>1</v>
      </c>
      <c r="C1124" s="2" t="s">
        <v>582</v>
      </c>
    </row>
    <row r="1125" spans="1:3" x14ac:dyDescent="0.25">
      <c r="A1125" s="4" t="s">
        <v>120</v>
      </c>
      <c r="B1125" s="1" t="s">
        <v>1</v>
      </c>
      <c r="C1125" s="2" t="s">
        <v>583</v>
      </c>
    </row>
    <row r="1127" spans="1:3" s="7" customFormat="1" ht="15.75" x14ac:dyDescent="0.3">
      <c r="A1127" s="5" t="s">
        <v>584</v>
      </c>
      <c r="B1127" s="5"/>
      <c r="C1127" s="6"/>
    </row>
    <row r="1128" spans="1:3" x14ac:dyDescent="0.25">
      <c r="A1128" s="4" t="s">
        <v>154</v>
      </c>
      <c r="B1128" s="1" t="s">
        <v>1</v>
      </c>
      <c r="C1128" s="2" t="s">
        <v>192</v>
      </c>
    </row>
    <row r="1129" spans="1:3" x14ac:dyDescent="0.25">
      <c r="A1129" s="4" t="s">
        <v>152</v>
      </c>
      <c r="B1129" s="1" t="s">
        <v>1</v>
      </c>
      <c r="C1129" s="2">
        <v>1</v>
      </c>
    </row>
    <row r="1130" spans="1:3" x14ac:dyDescent="0.25">
      <c r="A1130" s="4" t="s">
        <v>151</v>
      </c>
      <c r="B1130" s="1" t="s">
        <v>1</v>
      </c>
      <c r="C1130" s="2">
        <v>1</v>
      </c>
    </row>
    <row r="1131" spans="1:3" x14ac:dyDescent="0.25">
      <c r="A1131" s="4" t="s">
        <v>150</v>
      </c>
      <c r="B1131" s="1" t="s">
        <v>1</v>
      </c>
      <c r="C1131" s="2" t="s">
        <v>585</v>
      </c>
    </row>
    <row r="1132" spans="1:3" x14ac:dyDescent="0.25">
      <c r="A1132" s="4" t="s">
        <v>120</v>
      </c>
      <c r="B1132" s="1" t="s">
        <v>1</v>
      </c>
      <c r="C1132" s="2" t="s">
        <v>586</v>
      </c>
    </row>
    <row r="1134" spans="1:3" s="7" customFormat="1" ht="15.75" x14ac:dyDescent="0.3">
      <c r="A1134" s="5" t="s">
        <v>587</v>
      </c>
      <c r="B1134" s="5"/>
      <c r="C1134" s="6"/>
    </row>
    <row r="1135" spans="1:3" x14ac:dyDescent="0.25">
      <c r="A1135" s="4" t="s">
        <v>154</v>
      </c>
      <c r="B1135" s="1" t="s">
        <v>1</v>
      </c>
      <c r="C1135" s="2" t="s">
        <v>588</v>
      </c>
    </row>
    <row r="1136" spans="1:3" x14ac:dyDescent="0.25">
      <c r="A1136" s="4" t="s">
        <v>152</v>
      </c>
      <c r="B1136" s="1" t="s">
        <v>1</v>
      </c>
      <c r="C1136" s="2">
        <v>2</v>
      </c>
    </row>
    <row r="1137" spans="1:3" x14ac:dyDescent="0.25">
      <c r="A1137" s="4" t="s">
        <v>151</v>
      </c>
      <c r="B1137" s="1" t="s">
        <v>1</v>
      </c>
      <c r="C1137" s="2">
        <v>2</v>
      </c>
    </row>
    <row r="1138" spans="1:3" x14ac:dyDescent="0.25">
      <c r="A1138" s="4" t="s">
        <v>150</v>
      </c>
      <c r="B1138" s="1" t="s">
        <v>1</v>
      </c>
      <c r="C1138" s="2" t="s">
        <v>589</v>
      </c>
    </row>
    <row r="1139" spans="1:3" x14ac:dyDescent="0.25">
      <c r="A1139" s="4" t="s">
        <v>149</v>
      </c>
      <c r="B1139" s="1" t="s">
        <v>1</v>
      </c>
      <c r="C1139" s="2" t="s">
        <v>590</v>
      </c>
    </row>
    <row r="1140" spans="1:3" x14ac:dyDescent="0.25">
      <c r="A1140" s="4" t="s">
        <v>120</v>
      </c>
      <c r="B1140" s="1" t="s">
        <v>1</v>
      </c>
      <c r="C1140" s="2" t="s">
        <v>835</v>
      </c>
    </row>
    <row r="1141" spans="1:3" x14ac:dyDescent="0.25">
      <c r="A1141" s="4" t="s">
        <v>119</v>
      </c>
      <c r="B1141" s="1" t="s">
        <v>1</v>
      </c>
      <c r="C1141" s="2" t="s">
        <v>591</v>
      </c>
    </row>
    <row r="1143" spans="1:3" s="7" customFormat="1" ht="15.75" x14ac:dyDescent="0.3">
      <c r="A1143" s="5" t="s">
        <v>637</v>
      </c>
      <c r="B1143" s="5"/>
      <c r="C1143" s="6"/>
    </row>
    <row r="1144" spans="1:3" x14ac:dyDescent="0.25">
      <c r="A1144" s="4" t="s">
        <v>154</v>
      </c>
      <c r="B1144" s="1" t="s">
        <v>1</v>
      </c>
      <c r="C1144" s="2" t="s">
        <v>588</v>
      </c>
    </row>
    <row r="1145" spans="1:3" x14ac:dyDescent="0.25">
      <c r="A1145" s="4" t="s">
        <v>152</v>
      </c>
      <c r="B1145" s="1" t="s">
        <v>1</v>
      </c>
      <c r="C1145" s="2">
        <v>4</v>
      </c>
    </row>
    <row r="1146" spans="1:3" x14ac:dyDescent="0.25">
      <c r="A1146" s="4" t="s">
        <v>151</v>
      </c>
      <c r="B1146" s="1" t="s">
        <v>1</v>
      </c>
      <c r="C1146" s="2">
        <v>4</v>
      </c>
    </row>
    <row r="1147" spans="1:3" x14ac:dyDescent="0.25">
      <c r="A1147" s="4" t="s">
        <v>150</v>
      </c>
      <c r="B1147" s="1" t="s">
        <v>1</v>
      </c>
      <c r="C1147" s="2" t="s">
        <v>635</v>
      </c>
    </row>
    <row r="1148" spans="1:3" x14ac:dyDescent="0.25">
      <c r="A1148" s="4" t="s">
        <v>149</v>
      </c>
      <c r="B1148" s="1" t="s">
        <v>1</v>
      </c>
      <c r="C1148" s="2" t="s">
        <v>636</v>
      </c>
    </row>
    <row r="1149" spans="1:3" x14ac:dyDescent="0.25">
      <c r="A1149" s="4" t="s">
        <v>148</v>
      </c>
      <c r="B1149" s="1" t="s">
        <v>1</v>
      </c>
      <c r="C1149" s="2" t="s">
        <v>634</v>
      </c>
    </row>
    <row r="1150" spans="1:3" x14ac:dyDescent="0.25">
      <c r="A1150" s="4" t="s">
        <v>147</v>
      </c>
      <c r="B1150" s="1" t="s">
        <v>1</v>
      </c>
      <c r="C1150" s="2" t="s">
        <v>590</v>
      </c>
    </row>
    <row r="1151" spans="1:3" x14ac:dyDescent="0.25">
      <c r="A1151" s="4" t="s">
        <v>120</v>
      </c>
      <c r="B1151" s="1" t="s">
        <v>1</v>
      </c>
      <c r="C1151" s="2" t="s">
        <v>835</v>
      </c>
    </row>
    <row r="1152" spans="1:3" x14ac:dyDescent="0.25">
      <c r="A1152" s="4" t="s">
        <v>119</v>
      </c>
      <c r="B1152" s="1" t="s">
        <v>1</v>
      </c>
      <c r="C1152" s="2" t="s">
        <v>673</v>
      </c>
    </row>
    <row r="1153" spans="1:3" x14ac:dyDescent="0.25">
      <c r="A1153" s="4" t="s">
        <v>118</v>
      </c>
      <c r="B1153" s="1" t="s">
        <v>1</v>
      </c>
      <c r="C1153" s="2" t="s">
        <v>836</v>
      </c>
    </row>
    <row r="1154" spans="1:3" x14ac:dyDescent="0.25">
      <c r="A1154" s="4" t="s">
        <v>117</v>
      </c>
      <c r="B1154" s="1" t="s">
        <v>1</v>
      </c>
      <c r="C1154" s="2" t="s">
        <v>591</v>
      </c>
    </row>
    <row r="1156" spans="1:3" s="7" customFormat="1" ht="15.75" x14ac:dyDescent="0.3">
      <c r="A1156" s="5" t="s">
        <v>592</v>
      </c>
      <c r="B1156" s="5"/>
      <c r="C1156" s="6"/>
    </row>
    <row r="1157" spans="1:3" x14ac:dyDescent="0.25">
      <c r="A1157" s="4" t="s">
        <v>154</v>
      </c>
      <c r="B1157" s="1" t="s">
        <v>1</v>
      </c>
      <c r="C1157" s="2" t="s">
        <v>593</v>
      </c>
    </row>
    <row r="1158" spans="1:3" x14ac:dyDescent="0.25">
      <c r="A1158" s="4" t="s">
        <v>152</v>
      </c>
      <c r="B1158" s="1" t="s">
        <v>1</v>
      </c>
      <c r="C1158" s="2">
        <v>3</v>
      </c>
    </row>
    <row r="1159" spans="1:3" x14ac:dyDescent="0.25">
      <c r="A1159" s="4" t="s">
        <v>151</v>
      </c>
      <c r="B1159" s="1" t="s">
        <v>1</v>
      </c>
      <c r="C1159" s="2">
        <v>3</v>
      </c>
    </row>
    <row r="1160" spans="1:3" x14ac:dyDescent="0.25">
      <c r="A1160" s="4" t="s">
        <v>150</v>
      </c>
      <c r="B1160" s="1" t="s">
        <v>1</v>
      </c>
      <c r="C1160" s="2" t="s">
        <v>192</v>
      </c>
    </row>
    <row r="1161" spans="1:3" x14ac:dyDescent="0.25">
      <c r="A1161" s="4" t="s">
        <v>120</v>
      </c>
      <c r="B1161" s="1" t="s">
        <v>1</v>
      </c>
      <c r="C1161" s="2" t="s">
        <v>835</v>
      </c>
    </row>
    <row r="1162" spans="1:3" x14ac:dyDescent="0.25">
      <c r="A1162" s="4" t="s">
        <v>119</v>
      </c>
      <c r="B1162" s="1" t="s">
        <v>1</v>
      </c>
      <c r="C1162" s="2" t="s">
        <v>932</v>
      </c>
    </row>
    <row r="1163" spans="1:3" x14ac:dyDescent="0.25">
      <c r="A1163" s="4" t="s">
        <v>118</v>
      </c>
      <c r="B1163" s="1" t="s">
        <v>1</v>
      </c>
      <c r="C1163" s="2" t="s">
        <v>594</v>
      </c>
    </row>
    <row r="1165" spans="1:3" s="7" customFormat="1" ht="15.75" x14ac:dyDescent="0.3">
      <c r="A1165" s="5" t="s">
        <v>595</v>
      </c>
      <c r="B1165" s="5"/>
      <c r="C1165" s="6"/>
    </row>
    <row r="1166" spans="1:3" x14ac:dyDescent="0.25">
      <c r="A1166" s="4" t="s">
        <v>154</v>
      </c>
      <c r="B1166" s="1" t="s">
        <v>1</v>
      </c>
      <c r="C1166" s="2" t="s">
        <v>596</v>
      </c>
    </row>
    <row r="1167" spans="1:3" x14ac:dyDescent="0.25">
      <c r="A1167" s="4" t="s">
        <v>152</v>
      </c>
      <c r="B1167" s="1" t="s">
        <v>1</v>
      </c>
      <c r="C1167" s="2">
        <v>5</v>
      </c>
    </row>
    <row r="1168" spans="1:3" x14ac:dyDescent="0.25">
      <c r="A1168" s="4" t="s">
        <v>151</v>
      </c>
      <c r="B1168" s="1" t="s">
        <v>1</v>
      </c>
      <c r="C1168" s="2">
        <v>5</v>
      </c>
    </row>
    <row r="1169" spans="1:3" x14ac:dyDescent="0.25">
      <c r="A1169" s="4" t="s">
        <v>150</v>
      </c>
      <c r="B1169" s="1" t="s">
        <v>1</v>
      </c>
      <c r="C1169" s="2" t="s">
        <v>886</v>
      </c>
    </row>
    <row r="1170" spans="1:3" x14ac:dyDescent="0.25">
      <c r="A1170" s="4" t="s">
        <v>149</v>
      </c>
      <c r="B1170" s="1" t="s">
        <v>1</v>
      </c>
      <c r="C1170" s="2" t="s">
        <v>887</v>
      </c>
    </row>
    <row r="1171" spans="1:3" x14ac:dyDescent="0.25">
      <c r="A1171" s="4" t="s">
        <v>148</v>
      </c>
      <c r="B1171" s="1" t="s">
        <v>1</v>
      </c>
      <c r="C1171" s="2" t="s">
        <v>888</v>
      </c>
    </row>
    <row r="1172" spans="1:3" x14ac:dyDescent="0.25">
      <c r="A1172" s="4" t="s">
        <v>147</v>
      </c>
      <c r="B1172" s="1" t="s">
        <v>1</v>
      </c>
      <c r="C1172" s="2" t="s">
        <v>889</v>
      </c>
    </row>
    <row r="1173" spans="1:3" x14ac:dyDescent="0.25">
      <c r="A1173" s="4" t="s">
        <v>146</v>
      </c>
      <c r="B1173" s="1" t="s">
        <v>1</v>
      </c>
      <c r="C1173" s="2" t="s">
        <v>894</v>
      </c>
    </row>
    <row r="1174" spans="1:3" x14ac:dyDescent="0.25">
      <c r="A1174" s="4" t="s">
        <v>120</v>
      </c>
      <c r="B1174" s="1" t="s">
        <v>1</v>
      </c>
      <c r="C1174" s="2" t="s">
        <v>597</v>
      </c>
    </row>
    <row r="1175" spans="1:3" x14ac:dyDescent="0.25">
      <c r="A1175" s="4" t="s">
        <v>119</v>
      </c>
      <c r="B1175" s="1" t="s">
        <v>1</v>
      </c>
      <c r="C1175" s="2" t="s">
        <v>854</v>
      </c>
    </row>
    <row r="1176" spans="1:3" x14ac:dyDescent="0.25">
      <c r="A1176" s="4" t="s">
        <v>118</v>
      </c>
      <c r="B1176" s="1" t="s">
        <v>1</v>
      </c>
      <c r="C1176" s="2" t="s">
        <v>598</v>
      </c>
    </row>
    <row r="1177" spans="1:3" x14ac:dyDescent="0.25">
      <c r="A1177" s="4" t="s">
        <v>117</v>
      </c>
      <c r="B1177" s="1" t="s">
        <v>1</v>
      </c>
      <c r="C1177" s="2" t="s">
        <v>852</v>
      </c>
    </row>
    <row r="1178" spans="1:3" x14ac:dyDescent="0.25">
      <c r="A1178" s="4" t="s">
        <v>116</v>
      </c>
      <c r="B1178" s="1" t="s">
        <v>1</v>
      </c>
      <c r="C1178" s="2" t="s">
        <v>599</v>
      </c>
    </row>
    <row r="1180" spans="1:3" s="7" customFormat="1" ht="15.75" x14ac:dyDescent="0.3">
      <c r="A1180" s="5" t="s">
        <v>600</v>
      </c>
      <c r="B1180" s="5"/>
      <c r="C1180" s="6"/>
    </row>
    <row r="1181" spans="1:3" x14ac:dyDescent="0.25">
      <c r="A1181" s="4" t="s">
        <v>154</v>
      </c>
      <c r="B1181" s="1" t="s">
        <v>1</v>
      </c>
      <c r="C1181" s="2" t="s">
        <v>601</v>
      </c>
    </row>
    <row r="1182" spans="1:3" x14ac:dyDescent="0.25">
      <c r="A1182" s="4" t="s">
        <v>152</v>
      </c>
      <c r="B1182" s="1" t="s">
        <v>1</v>
      </c>
      <c r="C1182" s="2">
        <v>4</v>
      </c>
    </row>
    <row r="1183" spans="1:3" x14ac:dyDescent="0.25">
      <c r="A1183" s="4" t="s">
        <v>151</v>
      </c>
      <c r="B1183" s="1" t="s">
        <v>1</v>
      </c>
      <c r="C1183" s="2">
        <v>4</v>
      </c>
    </row>
    <row r="1184" spans="1:3" x14ac:dyDescent="0.25">
      <c r="A1184" s="4" t="s">
        <v>150</v>
      </c>
      <c r="B1184" s="1" t="s">
        <v>1</v>
      </c>
      <c r="C1184" s="2" t="s">
        <v>886</v>
      </c>
    </row>
    <row r="1185" spans="1:3" x14ac:dyDescent="0.25">
      <c r="A1185" s="4" t="s">
        <v>149</v>
      </c>
      <c r="B1185" s="1" t="s">
        <v>1</v>
      </c>
      <c r="C1185" s="2" t="s">
        <v>893</v>
      </c>
    </row>
    <row r="1186" spans="1:3" x14ac:dyDescent="0.25">
      <c r="A1186" s="4" t="s">
        <v>148</v>
      </c>
      <c r="B1186" s="1" t="s">
        <v>1</v>
      </c>
      <c r="C1186" s="2" t="s">
        <v>892</v>
      </c>
    </row>
    <row r="1187" spans="1:3" x14ac:dyDescent="0.25">
      <c r="A1187" s="4" t="s">
        <v>147</v>
      </c>
      <c r="B1187" s="1" t="s">
        <v>1</v>
      </c>
      <c r="C1187" s="2" t="s">
        <v>891</v>
      </c>
    </row>
    <row r="1188" spans="1:3" x14ac:dyDescent="0.25">
      <c r="A1188" s="4" t="s">
        <v>146</v>
      </c>
      <c r="B1188" s="1" t="s">
        <v>1</v>
      </c>
      <c r="C1188" s="2" t="s">
        <v>890</v>
      </c>
    </row>
    <row r="1189" spans="1:3" x14ac:dyDescent="0.25">
      <c r="A1189" s="4" t="s">
        <v>120</v>
      </c>
      <c r="B1189" s="1" t="s">
        <v>1</v>
      </c>
      <c r="C1189" s="2" t="s">
        <v>855</v>
      </c>
    </row>
    <row r="1190" spans="1:3" x14ac:dyDescent="0.25">
      <c r="A1190" s="4" t="s">
        <v>119</v>
      </c>
      <c r="B1190" s="1" t="s">
        <v>1</v>
      </c>
      <c r="C1190" s="2" t="s">
        <v>598</v>
      </c>
    </row>
    <row r="1191" spans="1:3" x14ac:dyDescent="0.25">
      <c r="A1191" s="4" t="s">
        <v>118</v>
      </c>
      <c r="B1191" s="1" t="s">
        <v>1</v>
      </c>
      <c r="C1191" s="2" t="s">
        <v>853</v>
      </c>
    </row>
    <row r="1192" spans="1:3" x14ac:dyDescent="0.25">
      <c r="A1192" s="4" t="s">
        <v>117</v>
      </c>
      <c r="B1192" s="1" t="s">
        <v>1</v>
      </c>
      <c r="C1192" s="2" t="s">
        <v>599</v>
      </c>
    </row>
    <row r="1194" spans="1:3" s="7" customFormat="1" ht="15.75" x14ac:dyDescent="0.3">
      <c r="A1194" s="5" t="s">
        <v>602</v>
      </c>
      <c r="B1194" s="5"/>
      <c r="C1194" s="6"/>
    </row>
    <row r="1195" spans="1:3" x14ac:dyDescent="0.25">
      <c r="A1195" s="4" t="s">
        <v>154</v>
      </c>
      <c r="B1195" s="1" t="s">
        <v>1</v>
      </c>
      <c r="C1195" s="2" t="s">
        <v>603</v>
      </c>
    </row>
    <row r="1196" spans="1:3" x14ac:dyDescent="0.25">
      <c r="A1196" s="4" t="s">
        <v>152</v>
      </c>
      <c r="B1196" s="1" t="s">
        <v>1</v>
      </c>
      <c r="C1196" s="2">
        <v>1</v>
      </c>
    </row>
    <row r="1197" spans="1:3" x14ac:dyDescent="0.25">
      <c r="A1197" s="4" t="s">
        <v>151</v>
      </c>
      <c r="B1197" s="1" t="s">
        <v>1</v>
      </c>
      <c r="C1197" s="2">
        <v>2</v>
      </c>
    </row>
    <row r="1198" spans="1:3" x14ac:dyDescent="0.25">
      <c r="A1198" s="4" t="s">
        <v>150</v>
      </c>
      <c r="B1198" s="1" t="s">
        <v>1</v>
      </c>
      <c r="C1198" s="2" t="s">
        <v>192</v>
      </c>
    </row>
    <row r="1199" spans="1:3" x14ac:dyDescent="0.25">
      <c r="A1199" s="4" t="s">
        <v>120</v>
      </c>
      <c r="B1199" s="1" t="s">
        <v>1</v>
      </c>
      <c r="C1199" s="2" t="s">
        <v>2</v>
      </c>
    </row>
    <row r="1200" spans="1:3" x14ac:dyDescent="0.25">
      <c r="A1200" s="4" t="s">
        <v>119</v>
      </c>
      <c r="B1200" s="1" t="s">
        <v>1</v>
      </c>
      <c r="C1200" s="2" t="s">
        <v>604</v>
      </c>
    </row>
    <row r="1202" spans="1:3" s="7" customFormat="1" ht="15.75" x14ac:dyDescent="0.3">
      <c r="A1202" s="5" t="s">
        <v>605</v>
      </c>
      <c r="B1202" s="5"/>
      <c r="C1202" s="6"/>
    </row>
    <row r="1203" spans="1:3" x14ac:dyDescent="0.25">
      <c r="A1203" s="4" t="s">
        <v>154</v>
      </c>
      <c r="B1203" s="1" t="s">
        <v>1</v>
      </c>
      <c r="C1203" s="2" t="s">
        <v>606</v>
      </c>
    </row>
    <row r="1204" spans="1:3" x14ac:dyDescent="0.25">
      <c r="A1204" s="4" t="s">
        <v>152</v>
      </c>
      <c r="B1204" s="1" t="s">
        <v>1</v>
      </c>
      <c r="C1204" s="2">
        <v>1</v>
      </c>
    </row>
    <row r="1205" spans="1:3" x14ac:dyDescent="0.25">
      <c r="A1205" s="4" t="s">
        <v>151</v>
      </c>
      <c r="B1205" s="1" t="s">
        <v>1</v>
      </c>
      <c r="C1205" s="2">
        <v>2</v>
      </c>
    </row>
    <row r="1206" spans="1:3" x14ac:dyDescent="0.25">
      <c r="A1206" s="4" t="s">
        <v>150</v>
      </c>
      <c r="B1206" s="1" t="s">
        <v>1</v>
      </c>
      <c r="C1206" s="2" t="s">
        <v>192</v>
      </c>
    </row>
    <row r="1207" spans="1:3" x14ac:dyDescent="0.25">
      <c r="A1207" s="4" t="s">
        <v>120</v>
      </c>
      <c r="B1207" s="1" t="s">
        <v>1</v>
      </c>
      <c r="C1207" s="2" t="s">
        <v>607</v>
      </c>
    </row>
    <row r="1208" spans="1:3" x14ac:dyDescent="0.25">
      <c r="A1208" s="4" t="s">
        <v>119</v>
      </c>
      <c r="B1208" s="1" t="s">
        <v>1</v>
      </c>
      <c r="C1208" s="2" t="s">
        <v>604</v>
      </c>
    </row>
    <row r="1210" spans="1:3" x14ac:dyDescent="0.25">
      <c r="A1210" s="4" t="s">
        <v>608</v>
      </c>
    </row>
    <row r="1211" spans="1:3" x14ac:dyDescent="0.25">
      <c r="A1211" s="4" t="s">
        <v>609</v>
      </c>
    </row>
    <row r="1212" spans="1:3" x14ac:dyDescent="0.25">
      <c r="A1212" s="4" t="s">
        <v>608</v>
      </c>
    </row>
    <row r="1214" spans="1:3" s="7" customFormat="1" ht="15.75" x14ac:dyDescent="0.3">
      <c r="A1214" s="5" t="s">
        <v>610</v>
      </c>
      <c r="B1214" s="5"/>
      <c r="C1214" s="6"/>
    </row>
    <row r="1215" spans="1:3" x14ac:dyDescent="0.25">
      <c r="A1215" s="4" t="s">
        <v>303</v>
      </c>
      <c r="B1215" s="1" t="s">
        <v>1</v>
      </c>
      <c r="C1215" s="2" t="s">
        <v>79</v>
      </c>
    </row>
    <row r="1216" spans="1:3" x14ac:dyDescent="0.25">
      <c r="A1216" s="4" t="s">
        <v>154</v>
      </c>
      <c r="B1216" s="1" t="s">
        <v>1</v>
      </c>
      <c r="C1216" s="2" t="s">
        <v>192</v>
      </c>
    </row>
    <row r="1217" spans="1:3" x14ac:dyDescent="0.25">
      <c r="A1217" s="4" t="s">
        <v>152</v>
      </c>
      <c r="B1217" s="1" t="s">
        <v>1</v>
      </c>
      <c r="C1217" s="2">
        <v>5</v>
      </c>
    </row>
    <row r="1218" spans="1:3" x14ac:dyDescent="0.25">
      <c r="A1218" s="4" t="s">
        <v>151</v>
      </c>
      <c r="B1218" s="1" t="s">
        <v>1</v>
      </c>
      <c r="C1218" s="2">
        <v>5</v>
      </c>
    </row>
    <row r="1219" spans="1:3" x14ac:dyDescent="0.25">
      <c r="A1219" s="4" t="s">
        <v>150</v>
      </c>
      <c r="B1219" s="1" t="s">
        <v>1</v>
      </c>
      <c r="C1219" s="2" t="s">
        <v>611</v>
      </c>
    </row>
    <row r="1220" spans="1:3" x14ac:dyDescent="0.25">
      <c r="A1220" s="4" t="s">
        <v>120</v>
      </c>
      <c r="B1220" s="1" t="s">
        <v>1</v>
      </c>
      <c r="C1220" s="2" t="s">
        <v>305</v>
      </c>
    </row>
    <row r="1221" spans="1:3" x14ac:dyDescent="0.25">
      <c r="A1221" s="4" t="s">
        <v>119</v>
      </c>
      <c r="B1221" s="1" t="s">
        <v>1</v>
      </c>
      <c r="C1221" s="2" t="s">
        <v>612</v>
      </c>
    </row>
    <row r="1222" spans="1:3" x14ac:dyDescent="0.25">
      <c r="A1222" s="4" t="s">
        <v>118</v>
      </c>
      <c r="B1222" s="1" t="s">
        <v>1</v>
      </c>
      <c r="C1222" s="2" t="s">
        <v>306</v>
      </c>
    </row>
    <row r="1223" spans="1:3" x14ac:dyDescent="0.25">
      <c r="A1223" s="4" t="s">
        <v>117</v>
      </c>
      <c r="B1223" s="1" t="s">
        <v>1</v>
      </c>
      <c r="C1223" s="2" t="s">
        <v>307</v>
      </c>
    </row>
    <row r="1224" spans="1:3" x14ac:dyDescent="0.25">
      <c r="A1224" s="4" t="s">
        <v>116</v>
      </c>
      <c r="B1224" s="1" t="s">
        <v>1</v>
      </c>
      <c r="C1224" s="2" t="s">
        <v>308</v>
      </c>
    </row>
    <row r="1226" spans="1:3" s="7" customFormat="1" ht="15.75" x14ac:dyDescent="0.3">
      <c r="A1226" s="5" t="s">
        <v>613</v>
      </c>
      <c r="B1226" s="5"/>
      <c r="C1226" s="6"/>
    </row>
    <row r="1227" spans="1:3" x14ac:dyDescent="0.25">
      <c r="A1227" s="4" t="s">
        <v>303</v>
      </c>
      <c r="B1227" s="1" t="s">
        <v>1</v>
      </c>
      <c r="C1227" s="2" t="s">
        <v>79</v>
      </c>
    </row>
    <row r="1228" spans="1:3" x14ac:dyDescent="0.25">
      <c r="A1228" s="4" t="s">
        <v>154</v>
      </c>
      <c r="B1228" s="1" t="s">
        <v>1</v>
      </c>
      <c r="C1228" s="2" t="s">
        <v>192</v>
      </c>
    </row>
    <row r="1229" spans="1:3" x14ac:dyDescent="0.25">
      <c r="A1229" s="4" t="s">
        <v>152</v>
      </c>
      <c r="B1229" s="1" t="s">
        <v>1</v>
      </c>
      <c r="C1229" s="2">
        <v>5</v>
      </c>
    </row>
    <row r="1230" spans="1:3" x14ac:dyDescent="0.25">
      <c r="A1230" s="4" t="s">
        <v>151</v>
      </c>
      <c r="B1230" s="1" t="s">
        <v>1</v>
      </c>
      <c r="C1230" s="2">
        <v>5</v>
      </c>
    </row>
    <row r="1231" spans="1:3" x14ac:dyDescent="0.25">
      <c r="A1231" s="4" t="s">
        <v>150</v>
      </c>
      <c r="B1231" s="1" t="s">
        <v>1</v>
      </c>
      <c r="C1231" s="2" t="s">
        <v>614</v>
      </c>
    </row>
    <row r="1232" spans="1:3" x14ac:dyDescent="0.25">
      <c r="A1232" s="4" t="s">
        <v>120</v>
      </c>
      <c r="B1232" s="1" t="s">
        <v>1</v>
      </c>
      <c r="C1232" s="2" t="s">
        <v>333</v>
      </c>
    </row>
    <row r="1233" spans="1:3" x14ac:dyDescent="0.25">
      <c r="A1233" s="4" t="s">
        <v>119</v>
      </c>
      <c r="B1233" s="1" t="s">
        <v>1</v>
      </c>
      <c r="C1233" s="2" t="s">
        <v>615</v>
      </c>
    </row>
    <row r="1234" spans="1:3" x14ac:dyDescent="0.25">
      <c r="A1234" s="4" t="s">
        <v>118</v>
      </c>
      <c r="B1234" s="1" t="s">
        <v>1</v>
      </c>
      <c r="C1234" s="2" t="s">
        <v>334</v>
      </c>
    </row>
    <row r="1235" spans="1:3" x14ac:dyDescent="0.25">
      <c r="A1235" s="4" t="s">
        <v>117</v>
      </c>
      <c r="B1235" s="1" t="s">
        <v>1</v>
      </c>
      <c r="C1235" s="2" t="s">
        <v>335</v>
      </c>
    </row>
    <row r="1236" spans="1:3" x14ac:dyDescent="0.25">
      <c r="A1236" s="4" t="s">
        <v>116</v>
      </c>
      <c r="B1236" s="1" t="s">
        <v>1</v>
      </c>
      <c r="C1236" s="2" t="s">
        <v>336</v>
      </c>
    </row>
    <row r="1238" spans="1:3" s="7" customFormat="1" ht="15.75" x14ac:dyDescent="0.3">
      <c r="A1238" s="5" t="s">
        <v>616</v>
      </c>
      <c r="B1238" s="5"/>
      <c r="C1238" s="6"/>
    </row>
    <row r="1239" spans="1:3" x14ac:dyDescent="0.25">
      <c r="A1239" s="4" t="s">
        <v>154</v>
      </c>
      <c r="B1239" s="1" t="s">
        <v>1</v>
      </c>
      <c r="C1239" s="2" t="s">
        <v>516</v>
      </c>
    </row>
    <row r="1240" spans="1:3" x14ac:dyDescent="0.25">
      <c r="A1240" s="4" t="s">
        <v>152</v>
      </c>
      <c r="B1240" s="1" t="s">
        <v>1</v>
      </c>
      <c r="C1240" s="2">
        <v>2</v>
      </c>
    </row>
    <row r="1241" spans="1:3" x14ac:dyDescent="0.25">
      <c r="A1241" s="4" t="s">
        <v>151</v>
      </c>
      <c r="B1241" s="1" t="s">
        <v>1</v>
      </c>
      <c r="C1241" s="2">
        <v>2</v>
      </c>
    </row>
    <row r="1242" spans="1:3" x14ac:dyDescent="0.25">
      <c r="A1242" s="4" t="s">
        <v>150</v>
      </c>
      <c r="B1242" s="1" t="s">
        <v>1</v>
      </c>
      <c r="C1242" s="2" t="s">
        <v>617</v>
      </c>
    </row>
    <row r="1243" spans="1:3" x14ac:dyDescent="0.25">
      <c r="A1243" s="4" t="s">
        <v>120</v>
      </c>
      <c r="B1243" s="1" t="s">
        <v>1</v>
      </c>
      <c r="C1243" s="2" t="s">
        <v>754</v>
      </c>
    </row>
    <row r="1244" spans="1:3" x14ac:dyDescent="0.25">
      <c r="A1244" s="4" t="s">
        <v>119</v>
      </c>
      <c r="B1244" s="1" t="s">
        <v>1</v>
      </c>
      <c r="C1244" s="2" t="s">
        <v>742</v>
      </c>
    </row>
    <row r="1246" spans="1:3" s="7" customFormat="1" ht="15.75" x14ac:dyDescent="0.3">
      <c r="A1246" s="5" t="s">
        <v>618</v>
      </c>
      <c r="B1246" s="5"/>
      <c r="C1246" s="6"/>
    </row>
    <row r="1247" spans="1:3" x14ac:dyDescent="0.25">
      <c r="A1247" s="4" t="s">
        <v>154</v>
      </c>
      <c r="B1247" s="1" t="s">
        <v>1</v>
      </c>
      <c r="C1247" s="2" t="s">
        <v>516</v>
      </c>
    </row>
    <row r="1248" spans="1:3" x14ac:dyDescent="0.25">
      <c r="A1248" s="4" t="s">
        <v>152</v>
      </c>
      <c r="B1248" s="1" t="s">
        <v>1</v>
      </c>
      <c r="C1248" s="2">
        <v>2</v>
      </c>
    </row>
    <row r="1249" spans="1:3" x14ac:dyDescent="0.25">
      <c r="A1249" s="4" t="s">
        <v>151</v>
      </c>
      <c r="B1249" s="1" t="s">
        <v>1</v>
      </c>
      <c r="C1249" s="2">
        <v>2</v>
      </c>
    </row>
    <row r="1250" spans="1:3" x14ac:dyDescent="0.25">
      <c r="A1250" s="4" t="s">
        <v>150</v>
      </c>
      <c r="B1250" s="1" t="s">
        <v>1</v>
      </c>
      <c r="C1250" s="2" t="s">
        <v>645</v>
      </c>
    </row>
    <row r="1251" spans="1:3" x14ac:dyDescent="0.25">
      <c r="A1251" s="4" t="s">
        <v>149</v>
      </c>
      <c r="B1251" s="1" t="s">
        <v>1</v>
      </c>
      <c r="C1251" s="2" t="s">
        <v>520</v>
      </c>
    </row>
    <row r="1252" spans="1:3" x14ac:dyDescent="0.25">
      <c r="A1252" s="4" t="s">
        <v>120</v>
      </c>
      <c r="B1252" s="1" t="s">
        <v>1</v>
      </c>
      <c r="C1252" s="2" t="s">
        <v>755</v>
      </c>
    </row>
    <row r="1253" spans="1:3" x14ac:dyDescent="0.25">
      <c r="A1253" s="4" t="s">
        <v>119</v>
      </c>
      <c r="B1253" s="1" t="s">
        <v>1</v>
      </c>
      <c r="C1253" s="2" t="s">
        <v>742</v>
      </c>
    </row>
    <row r="1255" spans="1:3" s="7" customFormat="1" ht="15.75" x14ac:dyDescent="0.3">
      <c r="A1255" s="5" t="s">
        <v>619</v>
      </c>
      <c r="B1255" s="5"/>
      <c r="C1255" s="6"/>
    </row>
    <row r="1256" spans="1:3" x14ac:dyDescent="0.25">
      <c r="A1256" s="4" t="s">
        <v>154</v>
      </c>
      <c r="B1256" s="1" t="s">
        <v>1</v>
      </c>
      <c r="C1256" s="2" t="s">
        <v>192</v>
      </c>
    </row>
    <row r="1257" spans="1:3" x14ac:dyDescent="0.25">
      <c r="A1257" s="4" t="s">
        <v>152</v>
      </c>
      <c r="B1257" s="1" t="s">
        <v>1</v>
      </c>
      <c r="C1257" s="2">
        <v>4</v>
      </c>
    </row>
    <row r="1258" spans="1:3" x14ac:dyDescent="0.25">
      <c r="A1258" s="4" t="s">
        <v>151</v>
      </c>
      <c r="B1258" s="1" t="s">
        <v>1</v>
      </c>
      <c r="C1258" s="2">
        <v>4</v>
      </c>
    </row>
    <row r="1259" spans="1:3" x14ac:dyDescent="0.25">
      <c r="A1259" s="4" t="s">
        <v>150</v>
      </c>
      <c r="B1259" s="1" t="s">
        <v>1</v>
      </c>
      <c r="C1259" s="2" t="s">
        <v>620</v>
      </c>
    </row>
    <row r="1260" spans="1:3" x14ac:dyDescent="0.25">
      <c r="A1260" s="4" t="s">
        <v>149</v>
      </c>
      <c r="B1260" s="1" t="s">
        <v>1</v>
      </c>
      <c r="C1260" s="2" t="s">
        <v>642</v>
      </c>
    </row>
    <row r="1261" spans="1:3" x14ac:dyDescent="0.25">
      <c r="A1261" s="4" t="s">
        <v>148</v>
      </c>
      <c r="B1261" s="1" t="s">
        <v>1</v>
      </c>
      <c r="C1261" s="2" t="s">
        <v>643</v>
      </c>
    </row>
    <row r="1262" spans="1:3" x14ac:dyDescent="0.25">
      <c r="A1262" s="4" t="s">
        <v>120</v>
      </c>
      <c r="B1262" s="1" t="s">
        <v>1</v>
      </c>
      <c r="C1262" s="2" t="s">
        <v>756</v>
      </c>
    </row>
    <row r="1263" spans="1:3" x14ac:dyDescent="0.25">
      <c r="A1263" s="4" t="s">
        <v>119</v>
      </c>
      <c r="B1263" s="1" t="s">
        <v>1</v>
      </c>
      <c r="C1263" s="2" t="s">
        <v>621</v>
      </c>
    </row>
    <row r="1264" spans="1:3" x14ac:dyDescent="0.25">
      <c r="A1264" s="4" t="s">
        <v>118</v>
      </c>
      <c r="B1264" s="1" t="s">
        <v>1</v>
      </c>
      <c r="C1264" s="2" t="s">
        <v>583</v>
      </c>
    </row>
    <row r="1266" spans="1:3" s="7" customFormat="1" ht="15.75" x14ac:dyDescent="0.3">
      <c r="A1266" s="5" t="s">
        <v>622</v>
      </c>
      <c r="B1266" s="5"/>
      <c r="C1266" s="6"/>
    </row>
    <row r="1267" spans="1:3" x14ac:dyDescent="0.25">
      <c r="A1267" s="4" t="s">
        <v>264</v>
      </c>
      <c r="B1267" s="1" t="s">
        <v>1</v>
      </c>
      <c r="C1267" s="2" t="s">
        <v>623</v>
      </c>
    </row>
    <row r="1268" spans="1:3" x14ac:dyDescent="0.25">
      <c r="A1268" s="4" t="s">
        <v>154</v>
      </c>
      <c r="B1268" s="1" t="s">
        <v>1</v>
      </c>
      <c r="C1268" s="2" t="s">
        <v>192</v>
      </c>
    </row>
    <row r="1269" spans="1:3" x14ac:dyDescent="0.25">
      <c r="A1269" s="4" t="s">
        <v>152</v>
      </c>
      <c r="B1269" s="1" t="s">
        <v>1</v>
      </c>
      <c r="C1269" s="2">
        <v>4</v>
      </c>
    </row>
    <row r="1270" spans="1:3" x14ac:dyDescent="0.25">
      <c r="A1270" s="4" t="s">
        <v>151</v>
      </c>
      <c r="B1270" s="1" t="s">
        <v>1</v>
      </c>
      <c r="C1270" s="2">
        <v>4</v>
      </c>
    </row>
    <row r="1271" spans="1:3" x14ac:dyDescent="0.25">
      <c r="A1271" s="4" t="s">
        <v>150</v>
      </c>
      <c r="B1271" s="1" t="s">
        <v>1</v>
      </c>
      <c r="C1271" s="2" t="s">
        <v>644</v>
      </c>
    </row>
    <row r="1272" spans="1:3" x14ac:dyDescent="0.25">
      <c r="A1272" s="4" t="s">
        <v>149</v>
      </c>
      <c r="B1272" s="1" t="s">
        <v>1</v>
      </c>
      <c r="C1272" s="2" t="s">
        <v>620</v>
      </c>
    </row>
    <row r="1273" spans="1:3" x14ac:dyDescent="0.25">
      <c r="A1273" s="4" t="s">
        <v>148</v>
      </c>
      <c r="B1273" s="1" t="s">
        <v>1</v>
      </c>
      <c r="C1273" s="2" t="s">
        <v>642</v>
      </c>
    </row>
    <row r="1274" spans="1:3" x14ac:dyDescent="0.25">
      <c r="A1274" s="4" t="s">
        <v>147</v>
      </c>
      <c r="B1274" s="1" t="s">
        <v>1</v>
      </c>
      <c r="C1274" s="2" t="s">
        <v>643</v>
      </c>
    </row>
    <row r="1275" spans="1:3" x14ac:dyDescent="0.25">
      <c r="A1275" s="4" t="s">
        <v>120</v>
      </c>
      <c r="B1275" s="1" t="s">
        <v>1</v>
      </c>
      <c r="C1275" s="2" t="s">
        <v>757</v>
      </c>
    </row>
    <row r="1276" spans="1:3" x14ac:dyDescent="0.25">
      <c r="A1276" s="4" t="s">
        <v>119</v>
      </c>
      <c r="B1276" s="1" t="s">
        <v>1</v>
      </c>
      <c r="C1276" s="2" t="s">
        <v>756</v>
      </c>
    </row>
    <row r="1277" spans="1:3" x14ac:dyDescent="0.25">
      <c r="A1277" s="4" t="s">
        <v>118</v>
      </c>
      <c r="B1277" s="1" t="s">
        <v>1</v>
      </c>
      <c r="C1277" s="2" t="s">
        <v>621</v>
      </c>
    </row>
    <row r="1278" spans="1:3" x14ac:dyDescent="0.25">
      <c r="A1278" s="4" t="s">
        <v>117</v>
      </c>
      <c r="B1278" s="1" t="s">
        <v>1</v>
      </c>
      <c r="C1278" s="2" t="s">
        <v>583</v>
      </c>
    </row>
    <row r="1280" spans="1:3" s="7" customFormat="1" ht="15.75" x14ac:dyDescent="0.3">
      <c r="A1280" s="5" t="s">
        <v>624</v>
      </c>
      <c r="B1280" s="5"/>
      <c r="C1280" s="6"/>
    </row>
    <row r="1281" spans="1:3" x14ac:dyDescent="0.25">
      <c r="A1281" s="4" t="s">
        <v>264</v>
      </c>
      <c r="B1281" s="1" t="s">
        <v>1</v>
      </c>
      <c r="C1281" s="2" t="s">
        <v>625</v>
      </c>
    </row>
    <row r="1282" spans="1:3" x14ac:dyDescent="0.25">
      <c r="A1282" s="4" t="s">
        <v>154</v>
      </c>
      <c r="B1282" s="1" t="s">
        <v>1</v>
      </c>
      <c r="C1282" s="2" t="s">
        <v>192</v>
      </c>
    </row>
    <row r="1283" spans="1:3" x14ac:dyDescent="0.25">
      <c r="A1283" s="4" t="s">
        <v>152</v>
      </c>
      <c r="B1283" s="1" t="s">
        <v>1</v>
      </c>
      <c r="C1283" s="2">
        <v>4</v>
      </c>
    </row>
    <row r="1284" spans="1:3" x14ac:dyDescent="0.25">
      <c r="A1284" s="4" t="s">
        <v>151</v>
      </c>
      <c r="B1284" s="1" t="s">
        <v>1</v>
      </c>
      <c r="C1284" s="2">
        <v>4</v>
      </c>
    </row>
    <row r="1285" spans="1:3" x14ac:dyDescent="0.25">
      <c r="A1285" s="4" t="s">
        <v>150</v>
      </c>
      <c r="B1285" s="1" t="s">
        <v>1</v>
      </c>
      <c r="C1285" s="2" t="s">
        <v>644</v>
      </c>
    </row>
    <row r="1286" spans="1:3" x14ac:dyDescent="0.25">
      <c r="A1286" s="4" t="s">
        <v>149</v>
      </c>
      <c r="B1286" s="1" t="s">
        <v>1</v>
      </c>
      <c r="C1286" s="2" t="s">
        <v>620</v>
      </c>
    </row>
    <row r="1287" spans="1:3" x14ac:dyDescent="0.25">
      <c r="A1287" s="4" t="s">
        <v>148</v>
      </c>
      <c r="B1287" s="1" t="s">
        <v>1</v>
      </c>
      <c r="C1287" s="2" t="s">
        <v>642</v>
      </c>
    </row>
    <row r="1288" spans="1:3" x14ac:dyDescent="0.25">
      <c r="A1288" s="4" t="s">
        <v>147</v>
      </c>
      <c r="B1288" s="1" t="s">
        <v>1</v>
      </c>
      <c r="C1288" s="2" t="s">
        <v>643</v>
      </c>
    </row>
    <row r="1289" spans="1:3" x14ac:dyDescent="0.25">
      <c r="A1289" s="4" t="s">
        <v>120</v>
      </c>
      <c r="B1289" s="1" t="s">
        <v>1</v>
      </c>
      <c r="C1289" s="2" t="s">
        <v>757</v>
      </c>
    </row>
    <row r="1290" spans="1:3" x14ac:dyDescent="0.25">
      <c r="A1290" s="4" t="s">
        <v>119</v>
      </c>
      <c r="B1290" s="1" t="s">
        <v>1</v>
      </c>
      <c r="C1290" s="2" t="s">
        <v>756</v>
      </c>
    </row>
    <row r="1291" spans="1:3" x14ac:dyDescent="0.25">
      <c r="A1291" s="4" t="s">
        <v>118</v>
      </c>
      <c r="B1291" s="1" t="s">
        <v>1</v>
      </c>
      <c r="C1291" s="2" t="s">
        <v>621</v>
      </c>
    </row>
    <row r="1292" spans="1:3" x14ac:dyDescent="0.25">
      <c r="A1292" s="4" t="s">
        <v>117</v>
      </c>
      <c r="B1292" s="1" t="s">
        <v>1</v>
      </c>
      <c r="C1292" s="2" t="s">
        <v>583</v>
      </c>
    </row>
    <row r="1294" spans="1:3" s="7" customFormat="1" ht="15.75" x14ac:dyDescent="0.3">
      <c r="A1294" s="5" t="s">
        <v>626</v>
      </c>
      <c r="B1294" s="5"/>
      <c r="C1294" s="6"/>
    </row>
    <row r="1295" spans="1:3" x14ac:dyDescent="0.25">
      <c r="A1295" s="4" t="s">
        <v>154</v>
      </c>
      <c r="B1295" s="1" t="s">
        <v>1</v>
      </c>
      <c r="C1295" s="2" t="s">
        <v>192</v>
      </c>
    </row>
    <row r="1296" spans="1:3" x14ac:dyDescent="0.25">
      <c r="A1296" s="4" t="s">
        <v>152</v>
      </c>
      <c r="B1296" s="1" t="s">
        <v>1</v>
      </c>
      <c r="C1296" s="2">
        <v>4</v>
      </c>
    </row>
    <row r="1297" spans="1:3" x14ac:dyDescent="0.25">
      <c r="A1297" s="4" t="s">
        <v>151</v>
      </c>
      <c r="B1297" s="1" t="s">
        <v>1</v>
      </c>
      <c r="C1297" s="2">
        <v>4</v>
      </c>
    </row>
    <row r="1298" spans="1:3" x14ac:dyDescent="0.25">
      <c r="A1298" s="4" t="s">
        <v>150</v>
      </c>
      <c r="B1298" s="1" t="s">
        <v>1</v>
      </c>
      <c r="C1298" s="2" t="s">
        <v>644</v>
      </c>
    </row>
    <row r="1299" spans="1:3" x14ac:dyDescent="0.25">
      <c r="A1299" s="4" t="s">
        <v>149</v>
      </c>
      <c r="B1299" s="1" t="s">
        <v>1</v>
      </c>
      <c r="C1299" s="2" t="s">
        <v>552</v>
      </c>
    </row>
    <row r="1300" spans="1:3" x14ac:dyDescent="0.25">
      <c r="A1300" s="4" t="s">
        <v>148</v>
      </c>
      <c r="B1300" s="1" t="s">
        <v>1</v>
      </c>
      <c r="C1300" s="2" t="s">
        <v>642</v>
      </c>
    </row>
    <row r="1301" spans="1:3" x14ac:dyDescent="0.25">
      <c r="A1301" s="4" t="s">
        <v>147</v>
      </c>
      <c r="B1301" s="1" t="s">
        <v>1</v>
      </c>
      <c r="C1301" s="2" t="s">
        <v>643</v>
      </c>
    </row>
    <row r="1302" spans="1:3" x14ac:dyDescent="0.25">
      <c r="A1302" s="4" t="s">
        <v>120</v>
      </c>
      <c r="B1302" s="1" t="s">
        <v>1</v>
      </c>
      <c r="C1302" s="2" t="s">
        <v>757</v>
      </c>
    </row>
    <row r="1303" spans="1:3" x14ac:dyDescent="0.25">
      <c r="A1303" s="4" t="s">
        <v>119</v>
      </c>
      <c r="B1303" s="1" t="s">
        <v>1</v>
      </c>
      <c r="C1303" s="2" t="s">
        <v>564</v>
      </c>
    </row>
    <row r="1304" spans="1:3" x14ac:dyDescent="0.25">
      <c r="A1304" s="4" t="s">
        <v>118</v>
      </c>
      <c r="B1304" s="1" t="s">
        <v>1</v>
      </c>
      <c r="C1304" s="2" t="s">
        <v>621</v>
      </c>
    </row>
    <row r="1305" spans="1:3" x14ac:dyDescent="0.25">
      <c r="A1305" s="4" t="s">
        <v>117</v>
      </c>
      <c r="B1305" s="1" t="s">
        <v>1</v>
      </c>
      <c r="C1305" s="2" t="s">
        <v>583</v>
      </c>
    </row>
    <row r="1307" spans="1:3" s="7" customFormat="1" ht="15.75" x14ac:dyDescent="0.3">
      <c r="A1307" s="5" t="s">
        <v>949</v>
      </c>
      <c r="B1307" s="5"/>
      <c r="C1307" s="6"/>
    </row>
    <row r="1308" spans="1:3" x14ac:dyDescent="0.25">
      <c r="A1308" s="4" t="s">
        <v>154</v>
      </c>
      <c r="B1308" s="1" t="s">
        <v>1</v>
      </c>
      <c r="C1308" s="2" t="s">
        <v>950</v>
      </c>
    </row>
    <row r="1309" spans="1:3" x14ac:dyDescent="0.25">
      <c r="A1309" s="4" t="s">
        <v>152</v>
      </c>
      <c r="B1309" s="1" t="s">
        <v>1</v>
      </c>
      <c r="C1309" s="2">
        <v>3</v>
      </c>
    </row>
    <row r="1310" spans="1:3" x14ac:dyDescent="0.25">
      <c r="A1310" s="4" t="s">
        <v>151</v>
      </c>
      <c r="B1310" s="1" t="s">
        <v>1</v>
      </c>
      <c r="C1310" s="2">
        <v>3</v>
      </c>
    </row>
    <row r="1311" spans="1:3" x14ac:dyDescent="0.25">
      <c r="A1311" s="4" t="s">
        <v>150</v>
      </c>
      <c r="B1311" s="1" t="s">
        <v>1</v>
      </c>
      <c r="C1311" s="2" t="s">
        <v>951</v>
      </c>
    </row>
    <row r="1312" spans="1:3" x14ac:dyDescent="0.25">
      <c r="A1312" s="4" t="s">
        <v>149</v>
      </c>
      <c r="B1312" s="1" t="s">
        <v>1</v>
      </c>
      <c r="C1312" s="2" t="s">
        <v>952</v>
      </c>
    </row>
    <row r="1313" spans="1:3" x14ac:dyDescent="0.25">
      <c r="A1313" s="4" t="s">
        <v>148</v>
      </c>
      <c r="B1313" s="1" t="s">
        <v>1</v>
      </c>
      <c r="C1313" s="2" t="s">
        <v>954</v>
      </c>
    </row>
    <row r="1314" spans="1:3" x14ac:dyDescent="0.25">
      <c r="A1314" s="4" t="s">
        <v>120</v>
      </c>
      <c r="B1314" s="1" t="s">
        <v>1</v>
      </c>
      <c r="C1314" s="2" t="s">
        <v>1092</v>
      </c>
    </row>
    <row r="1315" spans="1:3" x14ac:dyDescent="0.25">
      <c r="A1315" s="4" t="s">
        <v>119</v>
      </c>
      <c r="B1315" s="1" t="s">
        <v>1</v>
      </c>
      <c r="C1315" s="2" t="s">
        <v>1093</v>
      </c>
    </row>
    <row r="1316" spans="1:3" x14ac:dyDescent="0.25">
      <c r="A1316" s="4" t="s">
        <v>118</v>
      </c>
      <c r="B1316" s="1" t="s">
        <v>1</v>
      </c>
      <c r="C1316" s="2" t="s">
        <v>953</v>
      </c>
    </row>
    <row r="1318" spans="1:3" s="7" customFormat="1" ht="15.75" x14ac:dyDescent="0.3">
      <c r="A1318" s="5" t="s">
        <v>957</v>
      </c>
      <c r="B1318" s="5"/>
      <c r="C1318" s="6"/>
    </row>
    <row r="1319" spans="1:3" x14ac:dyDescent="0.25">
      <c r="A1319" s="4" t="s">
        <v>154</v>
      </c>
      <c r="B1319" s="1" t="s">
        <v>1</v>
      </c>
      <c r="C1319" s="2" t="s">
        <v>982</v>
      </c>
    </row>
    <row r="1320" spans="1:3" x14ac:dyDescent="0.25">
      <c r="A1320" s="4" t="s">
        <v>152</v>
      </c>
      <c r="B1320" s="1" t="s">
        <v>1</v>
      </c>
      <c r="C1320" s="2">
        <v>3</v>
      </c>
    </row>
    <row r="1321" spans="1:3" x14ac:dyDescent="0.25">
      <c r="A1321" s="4" t="s">
        <v>151</v>
      </c>
      <c r="B1321" s="1" t="s">
        <v>1</v>
      </c>
      <c r="C1321" s="2">
        <v>3</v>
      </c>
    </row>
    <row r="1322" spans="1:3" x14ac:dyDescent="0.25">
      <c r="A1322" s="4" t="s">
        <v>150</v>
      </c>
      <c r="B1322" s="1" t="s">
        <v>1</v>
      </c>
      <c r="C1322" s="2" t="s">
        <v>955</v>
      </c>
    </row>
    <row r="1323" spans="1:3" x14ac:dyDescent="0.25">
      <c r="A1323" s="4" t="s">
        <v>149</v>
      </c>
      <c r="B1323" s="1" t="s">
        <v>1</v>
      </c>
      <c r="C1323" s="2" t="s">
        <v>642</v>
      </c>
    </row>
    <row r="1324" spans="1:3" x14ac:dyDescent="0.25">
      <c r="A1324" s="4" t="s">
        <v>148</v>
      </c>
      <c r="B1324" s="1" t="s">
        <v>1</v>
      </c>
      <c r="C1324" s="2" t="s">
        <v>956</v>
      </c>
    </row>
    <row r="1325" spans="1:3" x14ac:dyDescent="0.25">
      <c r="A1325" s="4" t="s">
        <v>120</v>
      </c>
      <c r="B1325" s="1" t="s">
        <v>1</v>
      </c>
      <c r="C1325" s="2" t="s">
        <v>564</v>
      </c>
    </row>
    <row r="1326" spans="1:3" x14ac:dyDescent="0.25">
      <c r="A1326" s="4" t="s">
        <v>119</v>
      </c>
      <c r="B1326" s="1" t="s">
        <v>1</v>
      </c>
      <c r="C1326" s="2" t="s">
        <v>621</v>
      </c>
    </row>
    <row r="1327" spans="1:3" x14ac:dyDescent="0.25">
      <c r="A1327" s="4" t="s">
        <v>118</v>
      </c>
      <c r="B1327" s="1" t="s">
        <v>1</v>
      </c>
      <c r="C1327" s="2" t="s">
        <v>567</v>
      </c>
    </row>
    <row r="1329" spans="1:3" s="7" customFormat="1" ht="15.75" x14ac:dyDescent="0.3">
      <c r="A1329" s="5" t="s">
        <v>684</v>
      </c>
      <c r="B1329" s="5"/>
      <c r="C1329" s="6"/>
    </row>
    <row r="1330" spans="1:3" x14ac:dyDescent="0.25">
      <c r="A1330" s="4" t="s">
        <v>154</v>
      </c>
      <c r="B1330" s="1" t="s">
        <v>1</v>
      </c>
      <c r="C1330" s="2" t="s">
        <v>675</v>
      </c>
    </row>
    <row r="1331" spans="1:3" x14ac:dyDescent="0.25">
      <c r="A1331" s="4" t="s">
        <v>152</v>
      </c>
      <c r="B1331" s="1" t="s">
        <v>1</v>
      </c>
      <c r="C1331" s="2">
        <v>0</v>
      </c>
    </row>
    <row r="1332" spans="1:3" x14ac:dyDescent="0.25">
      <c r="A1332" s="4" t="s">
        <v>151</v>
      </c>
      <c r="B1332" s="1" t="s">
        <v>1</v>
      </c>
      <c r="C1332" s="9">
        <f>COUNTA(A1333)</f>
        <v>0</v>
      </c>
    </row>
    <row r="1334" spans="1:3" s="7" customFormat="1" ht="15.75" x14ac:dyDescent="0.3">
      <c r="A1334" s="5" t="s">
        <v>685</v>
      </c>
      <c r="B1334" s="5"/>
      <c r="C1334" s="6"/>
    </row>
    <row r="1335" spans="1:3" x14ac:dyDescent="0.25">
      <c r="A1335" s="4" t="s">
        <v>154</v>
      </c>
      <c r="B1335" s="1" t="s">
        <v>1</v>
      </c>
      <c r="C1335" s="2" t="s">
        <v>192</v>
      </c>
    </row>
    <row r="1336" spans="1:3" x14ac:dyDescent="0.25">
      <c r="A1336" s="4" t="s">
        <v>152</v>
      </c>
      <c r="B1336" s="1" t="s">
        <v>1</v>
      </c>
      <c r="C1336" s="2">
        <v>3</v>
      </c>
    </row>
    <row r="1337" spans="1:3" x14ac:dyDescent="0.25">
      <c r="A1337" s="4" t="s">
        <v>151</v>
      </c>
      <c r="B1337" s="1" t="s">
        <v>1</v>
      </c>
      <c r="C1337" s="9">
        <f>COUNTA(A1340:A1342)</f>
        <v>2</v>
      </c>
    </row>
    <row r="1338" spans="1:3" x14ac:dyDescent="0.25">
      <c r="A1338" s="4" t="s">
        <v>150</v>
      </c>
      <c r="B1338" s="1" t="s">
        <v>1</v>
      </c>
      <c r="C1338" s="2" t="s">
        <v>681</v>
      </c>
    </row>
    <row r="1339" spans="1:3" x14ac:dyDescent="0.25">
      <c r="A1339" s="4" t="s">
        <v>149</v>
      </c>
      <c r="B1339" s="1" t="s">
        <v>1</v>
      </c>
      <c r="C1339" s="2" t="s">
        <v>682</v>
      </c>
    </row>
    <row r="1340" spans="1:3" x14ac:dyDescent="0.25">
      <c r="A1340" s="4" t="s">
        <v>120</v>
      </c>
      <c r="B1340" s="1" t="s">
        <v>1</v>
      </c>
      <c r="C1340" s="2" t="s">
        <v>873</v>
      </c>
    </row>
    <row r="1341" spans="1:3" x14ac:dyDescent="0.25">
      <c r="A1341" s="4" t="s">
        <v>119</v>
      </c>
      <c r="B1341" s="1" t="s">
        <v>1</v>
      </c>
      <c r="C1341" s="2" t="s">
        <v>871</v>
      </c>
    </row>
    <row r="1343" spans="1:3" s="7" customFormat="1" ht="15.75" x14ac:dyDescent="0.3">
      <c r="A1343" s="5" t="s">
        <v>686</v>
      </c>
      <c r="B1343" s="5"/>
      <c r="C1343" s="6"/>
    </row>
    <row r="1344" spans="1:3" x14ac:dyDescent="0.25">
      <c r="A1344" s="4" t="s">
        <v>154</v>
      </c>
      <c r="B1344" s="1" t="s">
        <v>1</v>
      </c>
      <c r="C1344" s="2" t="s">
        <v>192</v>
      </c>
    </row>
    <row r="1345" spans="1:3" x14ac:dyDescent="0.25">
      <c r="A1345" s="4" t="s">
        <v>152</v>
      </c>
      <c r="B1345" s="1" t="s">
        <v>1</v>
      </c>
      <c r="C1345" s="2">
        <v>0</v>
      </c>
    </row>
    <row r="1346" spans="1:3" x14ac:dyDescent="0.25">
      <c r="A1346" s="4" t="s">
        <v>151</v>
      </c>
      <c r="B1346" s="1" t="s">
        <v>1</v>
      </c>
      <c r="C1346" s="9">
        <f>COUNTA(A1348:A1349)</f>
        <v>1</v>
      </c>
    </row>
    <row r="1347" spans="1:3" x14ac:dyDescent="0.25">
      <c r="A1347" s="4" t="s">
        <v>150</v>
      </c>
      <c r="B1347" s="1" t="s">
        <v>1</v>
      </c>
      <c r="C1347" s="2" t="s">
        <v>722</v>
      </c>
    </row>
    <row r="1348" spans="1:3" x14ac:dyDescent="0.25">
      <c r="A1348" s="4" t="s">
        <v>120</v>
      </c>
      <c r="B1348" s="1" t="s">
        <v>1</v>
      </c>
      <c r="C1348" s="2" t="s">
        <v>872</v>
      </c>
    </row>
    <row r="1350" spans="1:3" s="7" customFormat="1" ht="15.75" x14ac:dyDescent="0.3">
      <c r="A1350" s="5" t="s">
        <v>720</v>
      </c>
      <c r="B1350" s="5"/>
      <c r="C1350" s="6"/>
    </row>
    <row r="1351" spans="1:3" x14ac:dyDescent="0.25">
      <c r="A1351" s="4" t="s">
        <v>154</v>
      </c>
      <c r="B1351" s="1" t="s">
        <v>1</v>
      </c>
      <c r="C1351" s="2" t="s">
        <v>192</v>
      </c>
    </row>
    <row r="1352" spans="1:3" x14ac:dyDescent="0.25">
      <c r="A1352" s="4" t="s">
        <v>152</v>
      </c>
      <c r="B1352" s="1" t="s">
        <v>1</v>
      </c>
      <c r="C1352" s="2">
        <v>2</v>
      </c>
    </row>
    <row r="1353" spans="1:3" x14ac:dyDescent="0.25">
      <c r="A1353" s="4" t="s">
        <v>151</v>
      </c>
      <c r="B1353" s="1" t="s">
        <v>1</v>
      </c>
      <c r="C1353" s="9">
        <f>COUNTA(A1355:A1356)</f>
        <v>1</v>
      </c>
    </row>
    <row r="1354" spans="1:3" x14ac:dyDescent="0.25">
      <c r="A1354" s="4" t="s">
        <v>150</v>
      </c>
      <c r="B1354" s="1" t="s">
        <v>1</v>
      </c>
      <c r="C1354" s="2" t="s">
        <v>719</v>
      </c>
    </row>
    <row r="1355" spans="1:3" x14ac:dyDescent="0.25">
      <c r="A1355" s="4" t="s">
        <v>120</v>
      </c>
      <c r="B1355" s="1" t="s">
        <v>1</v>
      </c>
      <c r="C1355" s="2" t="s">
        <v>718</v>
      </c>
    </row>
    <row r="1357" spans="1:3" s="7" customFormat="1" ht="15.75" x14ac:dyDescent="0.3">
      <c r="A1357" s="5" t="s">
        <v>651</v>
      </c>
      <c r="B1357" s="5"/>
      <c r="C1357" s="6"/>
    </row>
    <row r="1358" spans="1:3" x14ac:dyDescent="0.25">
      <c r="A1358" s="4" t="s">
        <v>154</v>
      </c>
      <c r="B1358" s="1" t="s">
        <v>1</v>
      </c>
      <c r="C1358" s="2" t="s">
        <v>192</v>
      </c>
    </row>
    <row r="1359" spans="1:3" x14ac:dyDescent="0.25">
      <c r="A1359" s="4" t="s">
        <v>152</v>
      </c>
      <c r="B1359" s="1" t="s">
        <v>1</v>
      </c>
      <c r="C1359" s="2">
        <v>5</v>
      </c>
    </row>
    <row r="1360" spans="1:3" x14ac:dyDescent="0.25">
      <c r="A1360" s="4" t="s">
        <v>151</v>
      </c>
      <c r="B1360" s="1" t="s">
        <v>1</v>
      </c>
      <c r="C1360" s="9">
        <f>COUNTA(A1366:A1371)</f>
        <v>5</v>
      </c>
    </row>
    <row r="1361" spans="1:3" x14ac:dyDescent="0.25">
      <c r="A1361" s="4" t="s">
        <v>150</v>
      </c>
      <c r="B1361" s="1" t="s">
        <v>1</v>
      </c>
      <c r="C1361" s="2" t="s">
        <v>678</v>
      </c>
    </row>
    <row r="1362" spans="1:3" x14ac:dyDescent="0.25">
      <c r="A1362" s="4" t="s">
        <v>149</v>
      </c>
      <c r="B1362" s="1" t="s">
        <v>1</v>
      </c>
      <c r="C1362" s="2" t="s">
        <v>679</v>
      </c>
    </row>
    <row r="1363" spans="1:3" x14ac:dyDescent="0.25">
      <c r="A1363" s="4" t="s">
        <v>148</v>
      </c>
      <c r="B1363" s="1" t="s">
        <v>1</v>
      </c>
      <c r="C1363" s="2" t="s">
        <v>683</v>
      </c>
    </row>
    <row r="1364" spans="1:3" x14ac:dyDescent="0.25">
      <c r="A1364" s="4" t="s">
        <v>147</v>
      </c>
      <c r="B1364" s="1" t="s">
        <v>1</v>
      </c>
      <c r="C1364" s="2" t="s">
        <v>650</v>
      </c>
    </row>
    <row r="1365" spans="1:3" x14ac:dyDescent="0.25">
      <c r="A1365" s="4" t="s">
        <v>146</v>
      </c>
      <c r="B1365" s="1" t="s">
        <v>1</v>
      </c>
      <c r="C1365" s="2" t="s">
        <v>680</v>
      </c>
    </row>
    <row r="1366" spans="1:3" x14ac:dyDescent="0.25">
      <c r="A1366" s="4" t="s">
        <v>120</v>
      </c>
      <c r="B1366" s="1" t="s">
        <v>1</v>
      </c>
      <c r="C1366" s="2" t="s">
        <v>863</v>
      </c>
    </row>
    <row r="1367" spans="1:3" x14ac:dyDescent="0.25">
      <c r="A1367" s="4" t="s">
        <v>119</v>
      </c>
      <c r="B1367" s="1" t="s">
        <v>1</v>
      </c>
      <c r="C1367" s="2" t="s">
        <v>861</v>
      </c>
    </row>
    <row r="1368" spans="1:3" x14ac:dyDescent="0.25">
      <c r="A1368" s="4" t="s">
        <v>118</v>
      </c>
      <c r="B1368" s="1" t="s">
        <v>1</v>
      </c>
      <c r="C1368" s="2" t="s">
        <v>676</v>
      </c>
    </row>
    <row r="1369" spans="1:3" x14ac:dyDescent="0.25">
      <c r="A1369" s="4" t="s">
        <v>117</v>
      </c>
      <c r="B1369" s="1" t="s">
        <v>1</v>
      </c>
      <c r="C1369" s="2" t="s">
        <v>677</v>
      </c>
    </row>
    <row r="1370" spans="1:3" x14ac:dyDescent="0.25">
      <c r="A1370" s="4" t="s">
        <v>116</v>
      </c>
      <c r="B1370" s="1" t="s">
        <v>1</v>
      </c>
      <c r="C1370" s="2" t="s">
        <v>649</v>
      </c>
    </row>
    <row r="1372" spans="1:3" s="7" customFormat="1" ht="15.75" x14ac:dyDescent="0.3">
      <c r="A1372" s="5" t="s">
        <v>721</v>
      </c>
      <c r="B1372" s="5"/>
      <c r="C1372" s="6"/>
    </row>
    <row r="1373" spans="1:3" x14ac:dyDescent="0.25">
      <c r="A1373" s="4" t="s">
        <v>154</v>
      </c>
      <c r="B1373" s="1" t="s">
        <v>1</v>
      </c>
      <c r="C1373" s="2" t="s">
        <v>687</v>
      </c>
    </row>
    <row r="1374" spans="1:3" x14ac:dyDescent="0.25">
      <c r="A1374" s="4" t="s">
        <v>152</v>
      </c>
      <c r="B1374" s="1" t="s">
        <v>1</v>
      </c>
      <c r="C1374" s="2">
        <v>9</v>
      </c>
    </row>
    <row r="1375" spans="1:3" x14ac:dyDescent="0.25">
      <c r="A1375" s="4" t="s">
        <v>151</v>
      </c>
      <c r="B1375" s="1" t="s">
        <v>1</v>
      </c>
      <c r="C1375" s="9">
        <f>COUNTA(A1397:A1418)</f>
        <v>21</v>
      </c>
    </row>
    <row r="1376" spans="1:3" x14ac:dyDescent="0.25">
      <c r="A1376" s="4" t="s">
        <v>150</v>
      </c>
      <c r="B1376" s="1" t="s">
        <v>1</v>
      </c>
      <c r="C1376" s="2" t="s">
        <v>192</v>
      </c>
    </row>
    <row r="1377" spans="1:3" x14ac:dyDescent="0.25">
      <c r="A1377" s="4" t="s">
        <v>149</v>
      </c>
      <c r="B1377" s="1" t="s">
        <v>1</v>
      </c>
      <c r="C1377" s="2" t="s">
        <v>192</v>
      </c>
    </row>
    <row r="1378" spans="1:3" x14ac:dyDescent="0.25">
      <c r="A1378" s="4" t="s">
        <v>148</v>
      </c>
      <c r="B1378" s="1" t="s">
        <v>1</v>
      </c>
      <c r="C1378" s="2" t="s">
        <v>700</v>
      </c>
    </row>
    <row r="1379" spans="1:3" x14ac:dyDescent="0.25">
      <c r="A1379" s="4" t="s">
        <v>147</v>
      </c>
      <c r="B1379" s="1" t="s">
        <v>1</v>
      </c>
      <c r="C1379" s="2" t="s">
        <v>701</v>
      </c>
    </row>
    <row r="1380" spans="1:3" x14ac:dyDescent="0.25">
      <c r="A1380" s="4" t="s">
        <v>146</v>
      </c>
      <c r="B1380" s="1" t="s">
        <v>1</v>
      </c>
      <c r="C1380" s="2" t="s">
        <v>702</v>
      </c>
    </row>
    <row r="1381" spans="1:3" x14ac:dyDescent="0.25">
      <c r="A1381" s="4" t="s">
        <v>145</v>
      </c>
      <c r="B1381" s="1" t="s">
        <v>1</v>
      </c>
      <c r="C1381" s="2" t="s">
        <v>703</v>
      </c>
    </row>
    <row r="1382" spans="1:3" x14ac:dyDescent="0.25">
      <c r="A1382" s="4" t="s">
        <v>144</v>
      </c>
      <c r="B1382" s="1" t="s">
        <v>1</v>
      </c>
      <c r="C1382" s="2" t="s">
        <v>704</v>
      </c>
    </row>
    <row r="1383" spans="1:3" x14ac:dyDescent="0.25">
      <c r="A1383" s="4" t="s">
        <v>143</v>
      </c>
      <c r="B1383" s="1" t="s">
        <v>1</v>
      </c>
      <c r="C1383" s="2" t="s">
        <v>705</v>
      </c>
    </row>
    <row r="1384" spans="1:3" x14ac:dyDescent="0.25">
      <c r="A1384" s="4" t="s">
        <v>142</v>
      </c>
      <c r="B1384" s="1" t="s">
        <v>1</v>
      </c>
      <c r="C1384" s="2" t="s">
        <v>707</v>
      </c>
    </row>
    <row r="1385" spans="1:3" x14ac:dyDescent="0.25">
      <c r="A1385" s="4" t="s">
        <v>141</v>
      </c>
      <c r="B1385" s="1" t="s">
        <v>1</v>
      </c>
      <c r="C1385" s="2" t="s">
        <v>706</v>
      </c>
    </row>
    <row r="1386" spans="1:3" x14ac:dyDescent="0.25">
      <c r="A1386" s="4" t="s">
        <v>140</v>
      </c>
      <c r="B1386" s="1" t="s">
        <v>1</v>
      </c>
      <c r="C1386" s="2" t="s">
        <v>708</v>
      </c>
    </row>
    <row r="1387" spans="1:3" x14ac:dyDescent="0.25">
      <c r="A1387" s="4" t="s">
        <v>139</v>
      </c>
      <c r="B1387" s="1" t="s">
        <v>1</v>
      </c>
      <c r="C1387" s="2" t="s">
        <v>709</v>
      </c>
    </row>
    <row r="1388" spans="1:3" x14ac:dyDescent="0.25">
      <c r="A1388" s="4" t="s">
        <v>138</v>
      </c>
      <c r="B1388" s="1" t="s">
        <v>1</v>
      </c>
      <c r="C1388" s="2" t="s">
        <v>710</v>
      </c>
    </row>
    <row r="1389" spans="1:3" x14ac:dyDescent="0.25">
      <c r="A1389" s="4" t="s">
        <v>137</v>
      </c>
      <c r="B1389" s="1" t="s">
        <v>1</v>
      </c>
      <c r="C1389" s="2" t="s">
        <v>711</v>
      </c>
    </row>
    <row r="1390" spans="1:3" x14ac:dyDescent="0.25">
      <c r="A1390" s="4" t="s">
        <v>136</v>
      </c>
      <c r="B1390" s="1" t="s">
        <v>1</v>
      </c>
      <c r="C1390" s="2" t="s">
        <v>712</v>
      </c>
    </row>
    <row r="1391" spans="1:3" x14ac:dyDescent="0.25">
      <c r="A1391" s="4" t="s">
        <v>135</v>
      </c>
      <c r="B1391" s="1" t="s">
        <v>1</v>
      </c>
      <c r="C1391" s="2" t="s">
        <v>713</v>
      </c>
    </row>
    <row r="1392" spans="1:3" x14ac:dyDescent="0.25">
      <c r="A1392" s="4" t="s">
        <v>134</v>
      </c>
      <c r="B1392" s="1" t="s">
        <v>1</v>
      </c>
      <c r="C1392" s="2" t="s">
        <v>714</v>
      </c>
    </row>
    <row r="1393" spans="1:3" x14ac:dyDescent="0.25">
      <c r="A1393" s="4" t="s">
        <v>133</v>
      </c>
      <c r="B1393" s="1" t="s">
        <v>1</v>
      </c>
      <c r="C1393" s="2" t="s">
        <v>715</v>
      </c>
    </row>
    <row r="1394" spans="1:3" x14ac:dyDescent="0.25">
      <c r="A1394" s="4" t="s">
        <v>132</v>
      </c>
      <c r="B1394" s="1" t="s">
        <v>1</v>
      </c>
      <c r="C1394" s="2" t="s">
        <v>716</v>
      </c>
    </row>
    <row r="1395" spans="1:3" x14ac:dyDescent="0.25">
      <c r="A1395" s="4" t="s">
        <v>131</v>
      </c>
      <c r="B1395" s="1" t="s">
        <v>1</v>
      </c>
      <c r="C1395" s="2" t="s">
        <v>717</v>
      </c>
    </row>
    <row r="1396" spans="1:3" x14ac:dyDescent="0.25">
      <c r="A1396" s="4" t="s">
        <v>130</v>
      </c>
      <c r="B1396" s="1" t="s">
        <v>1</v>
      </c>
      <c r="C1396" s="2" t="s">
        <v>699</v>
      </c>
    </row>
    <row r="1397" spans="1:3" x14ac:dyDescent="0.25">
      <c r="A1397" s="4" t="s">
        <v>120</v>
      </c>
      <c r="B1397" s="1" t="s">
        <v>1</v>
      </c>
      <c r="C1397" s="2" t="s">
        <v>688</v>
      </c>
    </row>
    <row r="1398" spans="1:3" ht="15.75" x14ac:dyDescent="0.3">
      <c r="A1398" s="4" t="s">
        <v>119</v>
      </c>
      <c r="B1398" s="1" t="s">
        <v>1</v>
      </c>
      <c r="C1398" s="2" t="s">
        <v>689</v>
      </c>
    </row>
    <row r="1399" spans="1:3" x14ac:dyDescent="0.25">
      <c r="A1399" s="4" t="s">
        <v>118</v>
      </c>
      <c r="B1399" s="1" t="s">
        <v>1</v>
      </c>
      <c r="C1399" s="2" t="s">
        <v>834</v>
      </c>
    </row>
    <row r="1400" spans="1:3" x14ac:dyDescent="0.25">
      <c r="A1400" s="4" t="s">
        <v>117</v>
      </c>
      <c r="B1400" s="1" t="s">
        <v>1</v>
      </c>
      <c r="C1400" s="2" t="s">
        <v>690</v>
      </c>
    </row>
    <row r="1401" spans="1:3" x14ac:dyDescent="0.25">
      <c r="A1401" s="4" t="s">
        <v>116</v>
      </c>
      <c r="B1401" s="1" t="s">
        <v>1</v>
      </c>
      <c r="C1401" s="2" t="s">
        <v>866</v>
      </c>
    </row>
    <row r="1402" spans="1:3" x14ac:dyDescent="0.25">
      <c r="A1402" s="4" t="s">
        <v>115</v>
      </c>
      <c r="B1402" s="1" t="s">
        <v>1</v>
      </c>
      <c r="C1402" s="2" t="s">
        <v>691</v>
      </c>
    </row>
    <row r="1403" spans="1:3" x14ac:dyDescent="0.25">
      <c r="A1403" s="4" t="s">
        <v>114</v>
      </c>
      <c r="B1403" s="1" t="s">
        <v>1</v>
      </c>
      <c r="C1403" s="2" t="s">
        <v>831</v>
      </c>
    </row>
    <row r="1404" spans="1:3" x14ac:dyDescent="0.25">
      <c r="A1404" s="4" t="s">
        <v>113</v>
      </c>
      <c r="B1404" s="1" t="s">
        <v>1</v>
      </c>
      <c r="C1404" s="2" t="s">
        <v>692</v>
      </c>
    </row>
    <row r="1405" spans="1:3" x14ac:dyDescent="0.25">
      <c r="A1405" s="4" t="s">
        <v>112</v>
      </c>
      <c r="B1405" s="1" t="s">
        <v>1</v>
      </c>
      <c r="C1405" s="2" t="s">
        <v>865</v>
      </c>
    </row>
    <row r="1406" spans="1:3" x14ac:dyDescent="0.25">
      <c r="A1406" s="4" t="s">
        <v>111</v>
      </c>
      <c r="B1406" s="1" t="s">
        <v>1</v>
      </c>
      <c r="C1406" s="2" t="s">
        <v>693</v>
      </c>
    </row>
    <row r="1407" spans="1:3" x14ac:dyDescent="0.25">
      <c r="A1407" s="4" t="s">
        <v>110</v>
      </c>
      <c r="B1407" s="1" t="s">
        <v>1</v>
      </c>
      <c r="C1407" s="2" t="s">
        <v>694</v>
      </c>
    </row>
    <row r="1408" spans="1:3" x14ac:dyDescent="0.25">
      <c r="A1408" s="4" t="s">
        <v>109</v>
      </c>
      <c r="B1408" s="1" t="s">
        <v>1</v>
      </c>
      <c r="C1408" s="2" t="s">
        <v>864</v>
      </c>
    </row>
    <row r="1409" spans="1:3" x14ac:dyDescent="0.25">
      <c r="A1409" s="4" t="s">
        <v>108</v>
      </c>
      <c r="B1409" s="1" t="s">
        <v>1</v>
      </c>
      <c r="C1409" s="2" t="s">
        <v>262</v>
      </c>
    </row>
    <row r="1410" spans="1:3" x14ac:dyDescent="0.25">
      <c r="A1410" s="4" t="s">
        <v>107</v>
      </c>
      <c r="B1410" s="1" t="s">
        <v>1</v>
      </c>
      <c r="C1410" s="2" t="s">
        <v>695</v>
      </c>
    </row>
    <row r="1411" spans="1:3" x14ac:dyDescent="0.25">
      <c r="A1411" s="4" t="s">
        <v>106</v>
      </c>
      <c r="B1411" s="1" t="s">
        <v>1</v>
      </c>
      <c r="C1411" s="2" t="s">
        <v>696</v>
      </c>
    </row>
    <row r="1412" spans="1:3" x14ac:dyDescent="0.25">
      <c r="A1412" s="4" t="s">
        <v>105</v>
      </c>
      <c r="B1412" s="1" t="s">
        <v>1</v>
      </c>
      <c r="C1412" s="2" t="s">
        <v>938</v>
      </c>
    </row>
    <row r="1413" spans="1:3" x14ac:dyDescent="0.25">
      <c r="A1413" s="4" t="s">
        <v>104</v>
      </c>
      <c r="B1413" s="1" t="s">
        <v>1</v>
      </c>
      <c r="C1413" s="2" t="s">
        <v>939</v>
      </c>
    </row>
    <row r="1414" spans="1:3" x14ac:dyDescent="0.25">
      <c r="A1414" s="4" t="s">
        <v>103</v>
      </c>
      <c r="B1414" s="1" t="s">
        <v>1</v>
      </c>
      <c r="C1414" s="2" t="s">
        <v>697</v>
      </c>
    </row>
    <row r="1415" spans="1:3" x14ac:dyDescent="0.25">
      <c r="A1415" s="4" t="s">
        <v>102</v>
      </c>
      <c r="B1415" s="1" t="s">
        <v>1</v>
      </c>
      <c r="C1415" s="2" t="s">
        <v>698</v>
      </c>
    </row>
    <row r="1416" spans="1:3" x14ac:dyDescent="0.25">
      <c r="A1416" s="4" t="s">
        <v>101</v>
      </c>
      <c r="B1416" s="1" t="s">
        <v>1</v>
      </c>
      <c r="C1416" s="2" t="s">
        <v>268</v>
      </c>
    </row>
    <row r="1417" spans="1:3" x14ac:dyDescent="0.25">
      <c r="A1417" s="4" t="s">
        <v>100</v>
      </c>
      <c r="B1417" s="1" t="s">
        <v>1</v>
      </c>
      <c r="C1417" s="2" t="s">
        <v>862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PreText</vt:lpstr>
      <vt:lpstr>tokens</vt:lpstr>
      <vt:lpstr>add_data_structure_sbsft</vt:lpstr>
      <vt:lpstr>blockset_sbsft_0</vt:lpstr>
      <vt:lpstr>blockset_sbsft_1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2020-04-06T16:02:10Z</dcterms:modified>
</cp:coreProperties>
</file>