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pplications\Digital Control Library SDK\WindowsForms\Digital Control Loop Designer zDLD\tools\"/>
    </mc:Choice>
  </mc:AlternateContent>
  <xr:revisionPtr revIDLastSave="0" documentId="13_ncr:1_{0C32D680-1E1F-45C1-A313-3B0F4F8DF533}" xr6:coauthVersionLast="45" xr6:coauthVersionMax="45" xr10:uidLastSave="{00000000-0000-0000-0000-000000000000}"/>
  <bookViews>
    <workbookView xWindow="-28920" yWindow="-120" windowWidth="29040" windowHeight="15990" tabRatio="873" activeTab="10" xr2:uid="{0E4D31C7-86C5-47A9-BBFE-D56E7B1CCAC2}"/>
  </bookViews>
  <sheets>
    <sheet name="PreText" sheetId="12" r:id="rId1"/>
    <sheet name="add_data_structure_sbsft" sheetId="4" r:id="rId2"/>
    <sheet name="blockset_sbsft_0" sheetId="2" r:id="rId3"/>
    <sheet name="blockset_sbsft_1" sheetId="3" r:id="rId4"/>
    <sheet name="add_data_structure_scscl" sheetId="6" r:id="rId5"/>
    <sheet name="blockset_scscl_0" sheetId="5" r:id="rId6"/>
    <sheet name="add_data_structure_dbsft" sheetId="8" r:id="rId7"/>
    <sheet name="blockset_dbsft_0" sheetId="7" r:id="rId8"/>
    <sheet name="add_data_structure_fscl" sheetId="11" r:id="rId9"/>
    <sheet name="blockset_fscl_0" sheetId="9" r:id="rId10"/>
    <sheet name="ASM_blocks" sheetId="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0" i="4" l="1"/>
  <c r="C100" i="6"/>
  <c r="C100" i="8"/>
  <c r="C100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71" i="4"/>
  <c r="C67" i="4"/>
  <c r="C63" i="4"/>
  <c r="C59" i="4"/>
  <c r="C99" i="11" l="1"/>
  <c r="C99" i="8"/>
  <c r="C99" i="6"/>
  <c r="C99" i="4"/>
  <c r="C98" i="11"/>
  <c r="C98" i="8"/>
  <c r="C98" i="6"/>
  <c r="C98" i="4"/>
  <c r="C83" i="11"/>
  <c r="C82" i="11"/>
  <c r="C104" i="11"/>
  <c r="C103" i="11"/>
  <c r="C102" i="11"/>
  <c r="C101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1" i="11"/>
  <c r="C80" i="11"/>
  <c r="C79" i="11"/>
  <c r="C78" i="11"/>
  <c r="C77" i="11"/>
  <c r="C76" i="11"/>
  <c r="C75" i="11"/>
  <c r="C74" i="11"/>
  <c r="C73" i="11"/>
  <c r="C72" i="11"/>
  <c r="C4" i="11"/>
  <c r="C83" i="8"/>
  <c r="C104" i="8"/>
  <c r="C103" i="8"/>
  <c r="C102" i="8"/>
  <c r="C101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2" i="8"/>
  <c r="C81" i="8"/>
  <c r="C80" i="8"/>
  <c r="C79" i="8"/>
  <c r="C78" i="8"/>
  <c r="C77" i="8"/>
  <c r="C76" i="8"/>
  <c r="C75" i="8"/>
  <c r="C74" i="8"/>
  <c r="C73" i="8"/>
  <c r="C72" i="8"/>
  <c r="C4" i="8"/>
  <c r="C4" i="6"/>
  <c r="C4" i="4"/>
  <c r="C84" i="4"/>
  <c r="C104" i="4"/>
  <c r="C103" i="4"/>
  <c r="C102" i="4"/>
  <c r="C101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3" i="4"/>
  <c r="C82" i="4"/>
  <c r="C81" i="4"/>
  <c r="C80" i="4"/>
  <c r="C79" i="4"/>
  <c r="C78" i="4"/>
  <c r="C77" i="4"/>
  <c r="C76" i="4"/>
  <c r="C75" i="4"/>
  <c r="C74" i="4"/>
  <c r="C73" i="4"/>
  <c r="C72" i="4"/>
  <c r="C70" i="4"/>
  <c r="C69" i="4"/>
  <c r="C68" i="4"/>
  <c r="C66" i="4"/>
  <c r="C65" i="4"/>
  <c r="C64" i="4"/>
  <c r="C62" i="4"/>
  <c r="C61" i="4"/>
  <c r="C60" i="4"/>
  <c r="C58" i="4"/>
  <c r="C57" i="4"/>
  <c r="C56" i="4"/>
  <c r="C55" i="4"/>
  <c r="C91" i="6"/>
  <c r="C89" i="6"/>
  <c r="C72" i="6"/>
  <c r="C104" i="6" l="1"/>
  <c r="C103" i="6"/>
  <c r="C102" i="6"/>
  <c r="C101" i="6"/>
  <c r="C95" i="6"/>
  <c r="C94" i="6"/>
  <c r="C93" i="6"/>
  <c r="C96" i="6"/>
  <c r="C97" i="6"/>
  <c r="C92" i="6"/>
  <c r="C90" i="6"/>
  <c r="C86" i="6"/>
  <c r="C85" i="6"/>
  <c r="C88" i="6"/>
  <c r="C87" i="6"/>
  <c r="C84" i="6"/>
  <c r="C82" i="6"/>
  <c r="C81" i="6"/>
  <c r="C80" i="6"/>
  <c r="C79" i="6"/>
  <c r="C78" i="6"/>
  <c r="C77" i="6"/>
  <c r="C76" i="6"/>
  <c r="C75" i="6"/>
  <c r="C74" i="6"/>
  <c r="C73" i="6"/>
  <c r="C83" i="6" l="1"/>
  <c r="C1219" i="1" l="1"/>
  <c r="C1262" i="1"/>
  <c r="C1247" i="1"/>
  <c r="C1240" i="1"/>
  <c r="C1233" i="1"/>
  <c r="C1224" i="1"/>
  <c r="C54" i="1"/>
  <c r="C35" i="1"/>
  <c r="C28" i="12"/>
  <c r="C9" i="12"/>
  <c r="C6" i="2"/>
  <c r="C6" i="5"/>
  <c r="C6" i="9"/>
  <c r="C6" i="7"/>
  <c r="C6" i="3" l="1"/>
</calcChain>
</file>

<file path=xl/sharedStrings.xml><?xml version="1.0" encoding="utf-8"?>
<sst xmlns="http://schemas.openxmlformats.org/spreadsheetml/2006/main" count="4901" uniqueCount="953">
  <si>
    <t>end</t>
  </si>
  <si>
    <t>=</t>
  </si>
  <si>
    <t>return</t>
  </si>
  <si>
    <t>charge_control_history_end</t>
  </si>
  <si>
    <t>charge_control_history_loop</t>
  </si>
  <si>
    <t>charge_control_history_start</t>
  </si>
  <si>
    <t>charge_error_history_end</t>
  </si>
  <si>
    <t>charge_error_history_loop</t>
  </si>
  <si>
    <t>charge_error_history_start</t>
  </si>
  <si>
    <t>charge_function_head</t>
  </si>
  <si>
    <t>clear_error_history_end</t>
  </si>
  <si>
    <t>clear_error_history_loop</t>
  </si>
  <si>
    <t>clear_error_history_start</t>
  </si>
  <si>
    <t>clear_control_history_end</t>
  </si>
  <si>
    <t>clear_control_history_loop</t>
  </si>
  <si>
    <t>clear_control_history_start</t>
  </si>
  <si>
    <t>reset_function_head</t>
  </si>
  <si>
    <t>context_restore_status_word_wreg</t>
  </si>
  <si>
    <t>context_restore_shadow</t>
  </si>
  <si>
    <t>context_restore</t>
  </si>
  <si>
    <t>enable_disable_end_dummy_read_end</t>
  </si>
  <si>
    <t>enable_disable_end_dummy_read</t>
  </si>
  <si>
    <t>enable_disable_end</t>
  </si>
  <si>
    <t>context_restore_core_status</t>
  </si>
  <si>
    <t>context_restore_core_config</t>
  </si>
  <si>
    <t>context_restore_accumulator_b</t>
  </si>
  <si>
    <t>context_restore_accumulator_a</t>
  </si>
  <si>
    <t>context_restore_mac_registers</t>
  </si>
  <si>
    <t>update_status_bitfield</t>
  </si>
  <si>
    <t>cascaded_function_call</t>
  </si>
  <si>
    <t>comp_control_add_most_recent_to_history</t>
  </si>
  <si>
    <t>comp_control_history_update</t>
  </si>
  <si>
    <t>load_control_history_array_ptr</t>
  </si>
  <si>
    <t>adc_trigger_b_placement</t>
  </si>
  <si>
    <t>adc_trigger_a_placement</t>
  </si>
  <si>
    <t>shadow_copy_control_output</t>
  </si>
  <si>
    <t>comp_writeback</t>
  </si>
  <si>
    <t>anti_windup_min</t>
  </si>
  <si>
    <t>anti_windup_max</t>
  </si>
  <si>
    <t>anti_windup</t>
  </si>
  <si>
    <t>comp_mac_store_acca</t>
  </si>
  <si>
    <t>comp_backward_norm_acca</t>
  </si>
  <si>
    <t>comp_mac_end_acca</t>
  </si>
  <si>
    <t>comp_mac_loop_b_term_acca</t>
  </si>
  <si>
    <t>comp_mac_start_acca_resume</t>
  </si>
  <si>
    <t>comp_error_add_most_recent_to_history</t>
  </si>
  <si>
    <t>load_b_coeff_array_ptr</t>
  </si>
  <si>
    <t>shadow_copy_error_input</t>
  </si>
  <si>
    <t>comp_norm_error</t>
  </si>
  <si>
    <t>comp_invert_input</t>
  </si>
  <si>
    <t>comp_zero_input</t>
  </si>
  <si>
    <t>comp_get_error</t>
  </si>
  <si>
    <t>shadow_copy_control_input</t>
  </si>
  <si>
    <t>comp_read_input</t>
  </si>
  <si>
    <t>comp_error_history_update</t>
  </si>
  <si>
    <t>load_error_history_array_ptr</t>
  </si>
  <si>
    <t>comp_mac_loop_a_term_acca</t>
  </si>
  <si>
    <t>comp_mac_start_acca_clear_prefetch</t>
  </si>
  <si>
    <t>load_a_coeff_array_ptr</t>
  </si>
  <si>
    <t>core_config</t>
  </si>
  <si>
    <t>context_save_core_status</t>
  </si>
  <si>
    <t>context_save_core_config</t>
  </si>
  <si>
    <t>context_save_accumulator_b</t>
  </si>
  <si>
    <t>context_save_accumulator_a</t>
  </si>
  <si>
    <t>context_save_mac_registers</t>
  </si>
  <si>
    <t>context_save</t>
  </si>
  <si>
    <t>enable_disable_start</t>
  </si>
  <si>
    <t>context_save_status_word_wreg</t>
  </si>
  <si>
    <t>context_save_shadow</t>
  </si>
  <si>
    <t>exec_function_head</t>
  </si>
  <si>
    <t>section_code</t>
  </si>
  <si>
    <t>add_data_structure_sbsft</t>
  </si>
  <si>
    <t>add_global_flags</t>
  </si>
  <si>
    <t>section_header</t>
  </si>
  <si>
    <t>lists</t>
  </si>
  <si>
    <t>disclaimer</t>
  </si>
  <si>
    <t>count</t>
  </si>
  <si>
    <t>a</t>
  </si>
  <si>
    <t>accu_usage</t>
  </si>
  <si>
    <t>4,6,8,10,13</t>
  </si>
  <si>
    <t>wreg_usage</t>
  </si>
  <si>
    <t>;linear execution of compensation filter (MAC_A - READ - UPDATE_B - MAC_B - CLAMP - WRITE - ATRIG - UPDATE_A)</t>
  </si>
  <si>
    <t>;Instruction blockset for signle-bitshed 16-bit fixed point controllers</t>
  </si>
  <si>
    <t>[blockset_sbsft_0]</t>
  </si>
  <si>
    <t>comp_mac_store32b_a</t>
  </si>
  <si>
    <t>comp_mac_loop_b_term_reverse_acca</t>
  </si>
  <si>
    <t>comp_mac_start_acca_reverse_clear</t>
  </si>
  <si>
    <t>load_b_coeff_array_ptr_reverse</t>
  </si>
  <si>
    <t>comp_control_add_most_recent_to_history_indirect</t>
  </si>
  <si>
    <t>comp_mac_load32b_a</t>
  </si>
  <si>
    <t>add_data_structure_fscl</t>
  </si>
  <si>
    <t>;linear execution of compensation filter (READ - MAC_B0 - CLAMP - WRITE - ATRIG - UPDATE_A - MAC_A - UPDATE_B - MAC_B)</t>
  </si>
  <si>
    <t>[blockset_sbsft_1]</t>
  </si>
  <si>
    <t>code29</t>
  </si>
  <si>
    <t>code28</t>
  </si>
  <si>
    <t>code27</t>
  </si>
  <si>
    <t>code26</t>
  </si>
  <si>
    <t>code25</t>
  </si>
  <si>
    <t>code24</t>
  </si>
  <si>
    <t>code23</t>
  </si>
  <si>
    <t>code22</t>
  </si>
  <si>
    <t>code21</t>
  </si>
  <si>
    <t>code20</t>
  </si>
  <si>
    <t>code19</t>
  </si>
  <si>
    <t>code18</t>
  </si>
  <si>
    <t>code17</t>
  </si>
  <si>
    <t>code16</t>
  </si>
  <si>
    <t>code15</t>
  </si>
  <si>
    <t>code14</t>
  </si>
  <si>
    <t>code13</t>
  </si>
  <si>
    <t>code12</t>
  </si>
  <si>
    <t>code11</t>
  </si>
  <si>
    <t>code10</t>
  </si>
  <si>
    <t>code9</t>
  </si>
  <si>
    <t>code8</t>
  </si>
  <si>
    <t>code7</t>
  </si>
  <si>
    <t>code6</t>
  </si>
  <si>
    <t>code5</t>
  </si>
  <si>
    <t>code4</t>
  </si>
  <si>
    <t>code3</t>
  </si>
  <si>
    <t>code2</t>
  </si>
  <si>
    <t>code1</t>
  </si>
  <si>
    <t>code0</t>
  </si>
  <si>
    <t>comment29</t>
  </si>
  <si>
    <t>comment28</t>
  </si>
  <si>
    <t>comment27</t>
  </si>
  <si>
    <t>comment26</t>
  </si>
  <si>
    <t>comment25</t>
  </si>
  <si>
    <t>comment24</t>
  </si>
  <si>
    <t>comment23</t>
  </si>
  <si>
    <t>comment22</t>
  </si>
  <si>
    <t>comment21</t>
  </si>
  <si>
    <t>comment20</t>
  </si>
  <si>
    <t>comment19</t>
  </si>
  <si>
    <t>comment18</t>
  </si>
  <si>
    <t>comment17</t>
  </si>
  <si>
    <t>comment16</t>
  </si>
  <si>
    <t>comment15</t>
  </si>
  <si>
    <t>comment14</t>
  </si>
  <si>
    <t>comment13</t>
  </si>
  <si>
    <t>comment12</t>
  </si>
  <si>
    <t>comment11</t>
  </si>
  <si>
    <t>comment10</t>
  </si>
  <si>
    <t>comment9</t>
  </si>
  <si>
    <t>comment8</t>
  </si>
  <si>
    <t>comment7</t>
  </si>
  <si>
    <t>comment6</t>
  </si>
  <si>
    <t>comment5</t>
  </si>
  <si>
    <t>comment4</t>
  </si>
  <si>
    <t>comment3</t>
  </si>
  <si>
    <t>comment2</t>
  </si>
  <si>
    <t>comment1</t>
  </si>
  <si>
    <t>comment0</t>
  </si>
  <si>
    <t>lines</t>
  </si>
  <si>
    <t>cycles</t>
  </si>
  <si>
    <t>%SEPARATOR%; Address offset declarations for data structure addressing</t>
  </si>
  <si>
    <t>head_comment</t>
  </si>
  <si>
    <t>[add_data_structure_sbsft]</t>
  </si>
  <si>
    <t>comp_backward_norm_coeff_scaler_acca</t>
  </si>
  <si>
    <t>add_data_structure_scscl</t>
  </si>
  <si>
    <t>;linear execution of compensation filter</t>
  </si>
  <si>
    <t>;Instruction blockset for output factor modulated, signle-bitshed 16-bit fixed point controllers</t>
  </si>
  <si>
    <t>[blockset_scscl_0]</t>
  </si>
  <si>
    <t>[add_data_structure_scscl]</t>
  </si>
  <si>
    <t>comp_add_accb_to_acca</t>
  </si>
  <si>
    <t>comp_backward_norm_accb</t>
  </si>
  <si>
    <t>comp_mac_end_accb</t>
  </si>
  <si>
    <t>comp_mac_loop_b_term_accb</t>
  </si>
  <si>
    <t>comp_mac_start_accb_clear_prefetch</t>
  </si>
  <si>
    <t>add_data_structure_dbsft</t>
  </si>
  <si>
    <t>ab</t>
  </si>
  <si>
    <t>;Instruction blockset for double-bitshed 16-bit fixed point controllers</t>
  </si>
  <si>
    <t>[blockset_dbsft_0]</t>
  </si>
  <si>
    <t>[add_data_structure_dbsft]</t>
  </si>
  <si>
    <t>fscl_context_restore_mac_registers</t>
  </si>
  <si>
    <t>comp_mac_store_accb</t>
  </si>
  <si>
    <t>fscl_comp_mac_end</t>
  </si>
  <si>
    <t>fscl_comp_mac_b_loop</t>
  </si>
  <si>
    <t>fscl_comp_mac_first</t>
  </si>
  <si>
    <t>fscl_comp_mac_start_resume</t>
  </si>
  <si>
    <t>fscl_comp_mac_a_loop</t>
  </si>
  <si>
    <t>fscl_comp_mac_start_clear</t>
  </si>
  <si>
    <t>fscl_context_save_mac_registers</t>
  </si>
  <si>
    <t>4,5,6,8,10,13</t>
  </si>
  <si>
    <t>[blockset_fscl_0]</t>
  </si>
  <si>
    <t>[add_data_structure_fscl]</t>
  </si>
  <si>
    <t>[generic]</t>
  </si>
  <si>
    <t>Name</t>
  </si>
  <si>
    <t>Assembly Generator Script</t>
  </si>
  <si>
    <t>Description</t>
  </si>
  <si>
    <t>Author</t>
  </si>
  <si>
    <t>Version</t>
  </si>
  <si>
    <t>Date</t>
  </si>
  <si>
    <t>[history]</t>
  </si>
  <si>
    <t>[filter_block_scaling_modes]</t>
  </si>
  <si>
    <t>%EMPTY%</t>
  </si>
  <si>
    <t>sbsft</t>
  </si>
  <si>
    <t>scscl</t>
  </si>
  <si>
    <t>dbsft</t>
  </si>
  <si>
    <t>fscl</t>
  </si>
  <si>
    <t>ffloat</t>
  </si>
  <si>
    <t>01/10/19;1.3.0;Added support for cascaded functions. This allows a controller to call another controller or user-defined function extension code module</t>
  </si>
  <si>
    <t>11/08/19;1.2.4;Added 'Changed data provider items from local copies in cNPNZ16b_t data structure to poinbter to external data buffers</t>
  </si>
  <si>
    <t>11/07/19;1.2.3;Added 'Dummy Read of Source Buffer' when control loop is disabled\r\nAdded second ADC trigger placement target and offset</t>
  </si>
  <si>
    <t>10/22/19;1.2.2;Fixed typos in comments of data structure</t>
  </si>
  <si>
    <t>10/19/19;1.2.1;Added code option for feedback signal rectification</t>
  </si>
  <si>
    <t>10/18/19;1.2.0;Changed existing input offset compensation to full bi-directional feedback implementation</t>
  </si>
  <si>
    <t>04/03/19;1.1.1;Added input offset compensation applied to input source</t>
  </si>
  <si>
    <t>[filter_block_scaling_modes_descritpion]</t>
  </si>
  <si>
    <t>Single Bitshift-Scaling Mode</t>
  </si>
  <si>
    <t>Single Coefficient Factor Scaling Mode</t>
  </si>
  <si>
    <t>Fast Floating Point Coefficient Scaling Mode</t>
  </si>
  <si>
    <t>Fast Floating Point Mode</t>
  </si>
  <si>
    <t>addr_offset_sbft</t>
  </si>
  <si>
    <t>addr_offset_scscl</t>
  </si>
  <si>
    <t>addr_offset_dbsft</t>
  </si>
  <si>
    <t>addr_offset_fscl</t>
  </si>
  <si>
    <t>addr_offset_ffloat</t>
  </si>
  <si>
    <t>[MSExcelExport]</t>
  </si>
  <si>
    <t>PoleAtOrigin</t>
  </si>
  <si>
    <t>IMDIV(wp0 ,COMPLEX(0,[&lt;SHEET.CELL.RADIANDS&gt;]))</t>
  </si>
  <si>
    <t>LeadLagBlock</t>
  </si>
  <si>
    <t>IMDIV(IMSUM(IMDIV(COMPLEX(0,[&lt;SHEET.CELL.RADIANDS&gt;]),wz%FO%,1),IMSUM(IMDIV(COMPLEX(0,[&lt;SHEET.CELL.RADIANDS&gt;]),wp%FO%),1))</t>
  </si>
  <si>
    <t>FORMULA</t>
  </si>
  <si>
    <t>IMPRODUCT(%PoleAtOrigin%, %LeadLagBlock%)</t>
  </si>
  <si>
    <t>[disclaimer]</t>
  </si>
  <si>
    <t>;head_comment</t>
  </si>
  <si>
    <t>;LICENSE / DISCLAIMER</t>
  </si>
  <si>
    <t>[lists]</t>
  </si>
  <si>
    <t>%SEPARATOR%;file start</t>
  </si>
  <si>
    <t>.nolist</t>
  </si>
  <si>
    <t>.list</t>
  </si>
  <si>
    <t>[section_header]</t>
  </si>
  <si>
    <t>%SEPARATOR%;local inclusions.</t>
  </si>
  <si>
    <t>place constant data in the data section</t>
  </si>
  <si>
    <t>.section .data</t>
  </si>
  <si>
    <t>[section_code]</t>
  </si>
  <si>
    <t>place code in the code section</t>
  </si>
  <si>
    <t>;code0</t>
  </si>
  <si>
    <t>;.section .libdsp, code</t>
  </si>
  <si>
    <t>.section .text</t>
  </si>
  <si>
    <t>[add_global_flags]</t>
  </si>
  <si>
    <t>%SEPARATOR%; Define status flags bit positions</t>
  </si>
  <si>
    <t>bit position of the ENABLE control bit</t>
  </si>
  <si>
    <t>bit position of the INVERT_INPUT control bit</t>
  </si>
  <si>
    <t>bit position of the SWAP_SOURCE control bit</t>
  </si>
  <si>
    <t>bit position of the SWAP_TARGET control bit</t>
  </si>
  <si>
    <t>bit position of the UPPER_SATURATION_FLAG status bit</t>
  </si>
  <si>
    <t>bit position of the LOWER_SATURATION_FLAG status bit</t>
  </si>
  <si>
    <t>[exec_function_head]</t>
  </si>
  <si>
    <t>%SEPARATOR%; Global function declaration\n; This function calls the z-domain controller processing the latest data point input%SEPARATOR%</t>
  </si>
  <si>
    <t>provide global scope to routine</t>
  </si>
  <si>
    <t>start of routine</t>
  </si>
  <si>
    <t>.global %PREFIXG%_Update</t>
  </si>
  <si>
    <t>%PREFIXG%_Update:\n</t>
  </si>
  <si>
    <t>[reset_function_head]</t>
  </si>
  <si>
    <t>%SEPARATOR%; Global function declaration %PREFIXG%_Reset\n; This function clears control and error histories enforcing a reset%SEPARATOR%</t>
  </si>
  <si>
    <t>.global %PREFIXG%_Reset</t>
  </si>
  <si>
    <t>%PREFIXG%_Reset:</t>
  </si>
  <si>
    <t>[charge_function_head]</t>
  </si>
  <si>
    <t>%SEPARATOR%; Global function declaration %PREFIXG%_Precharge\n; This function loads user-defined default values into control and error histories%SEPARATOR%</t>
  </si>
  <si>
    <t>.global %PREFIXG%_Precharge</t>
  </si>
  <si>
    <t>%PREFIXG%_Precharge:</t>
  </si>
  <si>
    <t>[clear_control_history_start]</t>
  </si>
  <si>
    <t>%SEPARATOR%; Clear control history array</t>
  </si>
  <si>
    <t>push w0</t>
  </si>
  <si>
    <t>[clear_control_history_loop]</t>
  </si>
  <si>
    <t>filter_order_loop</t>
  </si>
  <si>
    <t>clr [w0++]</t>
  </si>
  <si>
    <t>[clear_control_history_end]</t>
  </si>
  <si>
    <t>clr [w0]</t>
  </si>
  <si>
    <t>pop w0</t>
  </si>
  <si>
    <t>[clear_error_history_start]</t>
  </si>
  <si>
    <t>%SEPARATOR%; Clear error history array</t>
  </si>
  <si>
    <t>[clear_error_history_loop]</t>
  </si>
  <si>
    <t>b</t>
  </si>
  <si>
    <t>Clear next address of error history array</t>
  </si>
  <si>
    <t>[clear_error_history_end]</t>
  </si>
  <si>
    <t>[charge_control_history_start]</t>
  </si>
  <si>
    <t>%SEPARATOR%; Charge control history array with defined value</t>
  </si>
  <si>
    <t>push w2</t>
  </si>
  <si>
    <t>[charge_control_history_loop]</t>
  </si>
  <si>
    <t>Load user value into next address of control history array</t>
  </si>
  <si>
    <t>mov w2, [w0++]</t>
  </si>
  <si>
    <t>[charge_control_history_end]</t>
  </si>
  <si>
    <t>Load user value into last address of control history array</t>
  </si>
  <si>
    <t>mov w2, [w0]</t>
  </si>
  <si>
    <t>pop w2</t>
  </si>
  <si>
    <t>[charge_error_history_start]</t>
  </si>
  <si>
    <t>%SEPARATOR%; Charge error history array with defined value</t>
  </si>
  <si>
    <t>push w1</t>
  </si>
  <si>
    <t>[charge_error_history_loop]</t>
  </si>
  <si>
    <t>Load user value into next address of error history array</t>
  </si>
  <si>
    <t>mov w1, [w0++]</t>
  </si>
  <si>
    <t>[charge_error_history_end]</t>
  </si>
  <si>
    <t>mov w1, [w0]</t>
  </si>
  <si>
    <t>pop w1</t>
  </si>
  <si>
    <t>[context_save]</t>
  </si>
  <si>
    <t>%SEPARATOR%; Save working registers</t>
  </si>
  <si>
    <t xml:space="preserve">%EMPTY%		</t>
  </si>
  <si>
    <t>[context_restore]</t>
  </si>
  <si>
    <t>%SEPARATOR%; Restore working registers</t>
  </si>
  <si>
    <t>[context_save_shadow]</t>
  </si>
  <si>
    <t>save shadowed working registers (w0...w3)</t>
  </si>
  <si>
    <t xml:space="preserve">push.s		</t>
  </si>
  <si>
    <t>[context_save_mac_registers]</t>
  </si>
  <si>
    <t>item_loop</t>
  </si>
  <si>
    <t>save working registers used for MAC operations (w4, w6, w8, w10)</t>
  </si>
  <si>
    <t>push w4</t>
  </si>
  <si>
    <t>push w6</t>
  </si>
  <si>
    <t>push w8</t>
  </si>
  <si>
    <t>push w10</t>
  </si>
  <si>
    <t>[context_save_status_word_wreg]</t>
  </si>
  <si>
    <t>save working register used for status flag tracking</t>
  </si>
  <si>
    <t>push w12</t>
  </si>
  <si>
    <t>[context_save_accumulator_a]</t>
  </si>
  <si>
    <t>save accumulator A registers</t>
  </si>
  <si>
    <t>push ACCAL</t>
  </si>
  <si>
    <t>push ACCAH</t>
  </si>
  <si>
    <t>push ACCAU</t>
  </si>
  <si>
    <t>[context_save_accumulator_b]</t>
  </si>
  <si>
    <t>save accumulator B registers</t>
  </si>
  <si>
    <t>push ACCBL</t>
  </si>
  <si>
    <t>push ACCBH</t>
  </si>
  <si>
    <t>push ACCBU</t>
  </si>
  <si>
    <t>[context_save_core_config]</t>
  </si>
  <si>
    <t>save CPU configuration register</t>
  </si>
  <si>
    <t>push CORCON</t>
  </si>
  <si>
    <t>[context_save_core_status]</t>
  </si>
  <si>
    <t>save CPU status register</t>
  </si>
  <si>
    <t>push SR</t>
  </si>
  <si>
    <t>[context_restore_shadow]</t>
  </si>
  <si>
    <t>restore shadowed working registers (w0...w3)</t>
  </si>
  <si>
    <t xml:space="preserve">pop.s		</t>
  </si>
  <si>
    <t>[context_restore_mac_registers]</t>
  </si>
  <si>
    <t>restore working registers used for MAC operations w4, w6, w8, w10)</t>
  </si>
  <si>
    <t>pop w4</t>
  </si>
  <si>
    <t>pop w6</t>
  </si>
  <si>
    <t>pop w8</t>
  </si>
  <si>
    <t>pop w10</t>
  </si>
  <si>
    <t>[context_restore_status_word_wreg]</t>
  </si>
  <si>
    <t>restore working register used for status flag tracking</t>
  </si>
  <si>
    <t>pop w12</t>
  </si>
  <si>
    <t>[context_restore_accumulator_a]</t>
  </si>
  <si>
    <t>restore accumulator A registers</t>
  </si>
  <si>
    <t>pop ACCAL</t>
  </si>
  <si>
    <t>pop ACCAH</t>
  </si>
  <si>
    <t>pop ACCAU</t>
  </si>
  <si>
    <t>[context_restore_accumulator_b]</t>
  </si>
  <si>
    <t>comment</t>
  </si>
  <si>
    <t>restore accumulator B registers</t>
  </si>
  <si>
    <t>pop ACCBL</t>
  </si>
  <si>
    <t>pop ACCBH</t>
  </si>
  <si>
    <t>pop ACCBU</t>
  </si>
  <si>
    <t>[context_restore_core_config]</t>
  </si>
  <si>
    <t>restore CPU configuration registers</t>
  </si>
  <si>
    <t>pop CORCON</t>
  </si>
  <si>
    <t>[context_restore_core_status]</t>
  </si>
  <si>
    <t>restore CPU status registers</t>
  </si>
  <si>
    <t>pop SR</t>
  </si>
  <si>
    <t>[enable_disable_start]</t>
  </si>
  <si>
    <t>declaration</t>
  </si>
  <si>
    <t>data_structure</t>
  </si>
  <si>
    <t>%SEPARATOR%; Check status word for Enable/Disable flag and bypass computation, if disabled</t>
  </si>
  <si>
    <t>bra %PREFIXU%_BYPASS_LOOP</t>
  </si>
  <si>
    <t>[enable_disable_end_dummy_read]</t>
  </si>
  <si>
    <t>%SEPARATOR%; Enable/Disable bypass branch target with dummy read of source buffer</t>
  </si>
  <si>
    <t>when enabled, step over dummy read and go straight to EXIT</t>
  </si>
  <si>
    <t>Enable/Disable bypass branch target to perform dummy read of source to clear the source buffer</t>
  </si>
  <si>
    <t>load pointer to input source register</t>
  </si>
  <si>
    <t>move value from input source into working register</t>
  </si>
  <si>
    <t>goto %PREFIXU%_EXIT_LOOP</t>
  </si>
  <si>
    <t>%PREFIXU%_BYPASS_LOOP:</t>
  </si>
  <si>
    <t xml:space="preserve">mov [w2], w1 </t>
  </si>
  <si>
    <t>[enable_disable_end_dummy_read_end]</t>
  </si>
  <si>
    <t xml:space="preserve">Exit control loop branch target </t>
  </si>
  <si>
    <t>%PREFIXU%_EXIT_LOOP:</t>
  </si>
  <si>
    <t>[enable_disable_end]</t>
  </si>
  <si>
    <t>%SEPARATOR%; Enable/Disable bypass branch target</t>
  </si>
  <si>
    <t>[core_config]</t>
  </si>
  <si>
    <t>%SEPARATOR%; Configure DSP for fractional operation with normal saturation (Q1.31 format)</t>
  </si>
  <si>
    <t>mov #0x00E4, w4</t>
  </si>
  <si>
    <t>mov w4, _CORCON</t>
  </si>
  <si>
    <t>[cascaded_function_call]</t>
  </si>
  <si>
    <t>%SEPARATOR%; Call next function of cascade</t>
  </si>
  <si>
    <t>load functoin pointer</t>
  </si>
  <si>
    <t>load single parameter or pointer to parameter data structure</t>
  </si>
  <si>
    <t>call function</t>
  </si>
  <si>
    <t>call w1</t>
  </si>
  <si>
    <t>[update_status_bitfield]</t>
  </si>
  <si>
    <t>%SEPARATOR%; Update status flag bitfield</t>
  </si>
  <si>
    <t>;~~~~~~~~~~~~~~~~~~~~~~~~~~~~~~~~~~~~~~~~~~~~~~~~~~~~~~~~~~~~~~~~~~~~~~~~~~~~~~~~~</t>
  </si>
  <si>
    <t>[anti_windup]</t>
  </si>
  <si>
    <t>%SEPARATOR%; Controller Anti-Windup (control output value clamping)</t>
  </si>
  <si>
    <t>[anti_windup_soft_desaturation]</t>
  </si>
  <si>
    <t>load address of most recent item in error history</t>
  </si>
  <si>
    <t>set most recent error to zero</t>
  </si>
  <si>
    <t>clr [w6]</t>
  </si>
  <si>
    <t>[anti_windup_max_start]</t>
  </si>
  <si>
    <t>\n; Check for upper limit violation</t>
  </si>
  <si>
    <t>load upper limit value</t>
  </si>
  <si>
    <t>compare values and skip next instruction if control output is within operating range (control output &lt; upper limit)</t>
  </si>
  <si>
    <t>cpslt w4, w6</t>
  </si>
  <si>
    <t>[anti_windup_max_options_start]</t>
  </si>
  <si>
    <t>jump to override label if control output &gt; upper limit</t>
  </si>
  <si>
    <t>bra %PREFIXU%_CLAMP_MAX_OVERRIDE</t>
  </si>
  <si>
    <t>[anti_windup_max_options_override_bypass]</t>
  </si>
  <si>
    <t>jump to exit</t>
  </si>
  <si>
    <t>bra %PREFIXU%_CLAMP_MAX_EXIT</t>
  </si>
  <si>
    <t>[anti_windup_max_options_override_start]</t>
  </si>
  <si>
    <t>%PREFIXU%_CLAMP_MAX_OVERRIDE:</t>
  </si>
  <si>
    <t>[anti_windup_max_set_status_flag]</t>
  </si>
  <si>
    <t>set upper limit saturation flag bit</t>
  </si>
  <si>
    <t>[anti_windup_max_clear_status_flag]</t>
  </si>
  <si>
    <t>clear upper limit saturation flag bit</t>
  </si>
  <si>
    <t>[anti_windup_max_override]</t>
  </si>
  <si>
    <t>override controller output</t>
  </si>
  <si>
    <t>mov w6, w4</t>
  </si>
  <si>
    <t>[anti_windup_max_options_end]</t>
  </si>
  <si>
    <t>%PREFIXU%_CLAMP_MAX_EXIT:</t>
  </si>
  <si>
    <t>[anti_windup_min_start]</t>
  </si>
  <si>
    <t>\n; Check for lower limit violation</t>
  </si>
  <si>
    <t>load lower limit value</t>
  </si>
  <si>
    <t>compare values and skip next instruction if control output is within operating range (control output &gt; lower limit)</t>
  </si>
  <si>
    <t>cpsgt w4, w6</t>
  </si>
  <si>
    <t>[anti_windup_min_options_start]</t>
  </si>
  <si>
    <t>jump to override label if control output &lt; lower limit</t>
  </si>
  <si>
    <t>bra %PREFIXU%_CLAMP_MIN_OVERRIDE</t>
  </si>
  <si>
    <t>[anti_windup_min_options_override_bypass]</t>
  </si>
  <si>
    <t>bra %PREFIXU%_CLAMP_MIN_EXIT</t>
  </si>
  <si>
    <t>[anti_windup_min_options_override_start]</t>
  </si>
  <si>
    <t>%PREFIXU%_CLAMP_MIN_OVERRIDE:</t>
  </si>
  <si>
    <t>[anti_windup_min_set_status_flag]</t>
  </si>
  <si>
    <t>set lower limit saturation flag bit</t>
  </si>
  <si>
    <t>[anti_windup_min_clear_status_flag]</t>
  </si>
  <si>
    <t>clear lower limit saturation flag bit</t>
  </si>
  <si>
    <t>[anti_windup_min_override]</t>
  </si>
  <si>
    <t>[anti_windup_min_options_end]</t>
  </si>
  <si>
    <t>%PREFIXU%_CLAMP_MIN_EXIT:</t>
  </si>
  <si>
    <t>[comp_read_input]</t>
  </si>
  <si>
    <t>%SEPARATOR%; Read data from input source and calculate error input to transfer function</t>
  </si>
  <si>
    <t>mov [w2], w1</t>
  </si>
  <si>
    <t>[comp_zero_input]</t>
  </si>
  <si>
    <t>load input offset value into working register</t>
  </si>
  <si>
    <t>add offset to error value</t>
  </si>
  <si>
    <t>add w1, w2, w1</t>
  </si>
  <si>
    <t>[comp_invert_input]</t>
  </si>
  <si>
    <t>Test control bit if value should be inverted</t>
  </si>
  <si>
    <t>invert value</t>
  </si>
  <si>
    <t>neg w1, w1</t>
  </si>
  <si>
    <t>[shadow_copy_control_input]</t>
  </si>
  <si>
    <t>load pointer address of target buffer of most recent controller input from data structure</t>
  </si>
  <si>
    <t>copy most recent controller input value to given data buffer target</t>
  </si>
  <si>
    <t>mov w1, [w2]</t>
  </si>
  <si>
    <t>[comp_get_error]</t>
  </si>
  <si>
    <t>move pointer to control reference into working register</t>
  </si>
  <si>
    <t>subr w1, [w2], w1</t>
  </si>
  <si>
    <t>[comp_norm_error]</t>
  </si>
  <si>
    <t>move error input scaler into working register</t>
  </si>
  <si>
    <t>normalize error result to fractional number format</t>
  </si>
  <si>
    <t>sl w1, w2, w1</t>
  </si>
  <si>
    <t>[shadow_copy_error_input]</t>
  </si>
  <si>
    <t>load pointer address of target buffer of most recent error value from data structure</t>
  </si>
  <si>
    <t>copy most recent error value to given data buffer target</t>
  </si>
  <si>
    <t>[shadow_copy_control_output]</t>
  </si>
  <si>
    <t>load pointer address of target buffer of most recent controller output value from data structure</t>
  </si>
  <si>
    <t>copy most recent controller output value to given data buffer target</t>
  </si>
  <si>
    <t>[comp_error_history_update]</t>
  </si>
  <si>
    <t>address_loop</t>
  </si>
  <si>
    <t>%SEPARATOR%; Update error history (move error one tick along the delay line)</t>
  </si>
  <si>
    <t xml:space="preserve">move entry (n-%INDEX%) into buffer </t>
  </si>
  <si>
    <t>move buffered value one tick down the delay line</t>
  </si>
  <si>
    <t>[comp_error_history_update_reverse]</t>
  </si>
  <si>
    <t>%SEPARATOR%; Update error history in reverse order (move error one tick along the delay line)</t>
  </si>
  <si>
    <t>move entry (n-%FO-INDEX%) one tick down the delay line</t>
  </si>
  <si>
    <t>[comp_error_add_most_recent_to_mac]</t>
  </si>
  <si>
    <t>load most recent error input into MAC wreg</t>
  </si>
  <si>
    <t>mov w1, w6</t>
  </si>
  <si>
    <t>[comp_error_add_most_recent_to_history]</t>
  </si>
  <si>
    <t>add most recent error input to history array</t>
  </si>
  <si>
    <t>mov w1, [w10]</t>
  </si>
  <si>
    <t>[comp_error_add_most_recent_to_history_reverse]</t>
  </si>
  <si>
    <t>[comp_control_history_update]</t>
  </si>
  <si>
    <t>%SEPARATOR%; Update control output history</t>
  </si>
  <si>
    <t>move entry (n-%INDEX%) one tick down the delay line</t>
  </si>
  <si>
    <t>[comp_control_history_update_reverse]</t>
  </si>
  <si>
    <t>%SEPARATOR%; Update control history in reverse order (move error one tick along the delay line)</t>
  </si>
  <si>
    <t>[comp_control_add_most_recent_to_history]</t>
  </si>
  <si>
    <t>add most recent control output to history</t>
  </si>
  <si>
    <t>mov w4, [w10]</t>
  </si>
  <si>
    <t>[comp_control_add_most_recent_to_history_reverse]</t>
  </si>
  <si>
    <t>[comp_control_add_most_recent_to_history_indirect]</t>
  </si>
  <si>
    <t>[load_a_coeff_array_ptr]</t>
  </si>
  <si>
    <t>%SEPARATOR%; Setup pointers to A-Term data arrays</t>
  </si>
  <si>
    <t>load pointer to first index of A coefficients array</t>
  </si>
  <si>
    <t>[load_a_coeff_array_ptr_reverse]</t>
  </si>
  <si>
    <t>%SEPARATOR%; Setup pointers to end of A-Term data arrays</t>
  </si>
  <si>
    <t>load pointer to end of A coefficients array</t>
  </si>
  <si>
    <t>[load_b_coeff_array_ptr]</t>
  </si>
  <si>
    <t>%SEPARATOR%; Setup pointers to B-Term data arrays</t>
  </si>
  <si>
    <t>load pointer to first index of B coefficients array</t>
  </si>
  <si>
    <t>[load_b_coeff_array_ptr_reverse]</t>
  </si>
  <si>
    <t>%SEPARATOR%; Setup pointers to end of B-Term data arrays</t>
  </si>
  <si>
    <t>load pointer to end of B coefficients array</t>
  </si>
  <si>
    <t>[load_b0_coeff_to_wreg]</t>
  </si>
  <si>
    <t>Load coefficient B0 into wreg</t>
  </si>
  <si>
    <t>mov [w8], w6</t>
  </si>
  <si>
    <t>[load_error_history_array_ptr]</t>
  </si>
  <si>
    <t>%SEPARATOR%; Setup pointer to first element of error history array</t>
  </si>
  <si>
    <t>load pointer address into wreg</t>
  </si>
  <si>
    <t>[load_error_history_array_ptr_reverse]</t>
  </si>
  <si>
    <t>[load_error_history_before_update_array_ptr]</t>
  </si>
  <si>
    <t>%SEPARATOR%; Setup pointer to second element of error history array</t>
  </si>
  <si>
    <t>[load_error_history_before_update_array_ptr_reverse]</t>
  </si>
  <si>
    <t>%SEPARATOR%; Setup pointer to penultimate element of error history array</t>
  </si>
  <si>
    <t>[load_control_history_array_ptr]</t>
  </si>
  <si>
    <t>%SEPARATOR%; Load pointer to first element of control history array</t>
  </si>
  <si>
    <t>[load_control_history_array_ptr_reverse]</t>
  </si>
  <si>
    <t>%SEPARATOR%; Load pointer to last element of control history array (reverse addressing)</t>
  </si>
  <si>
    <t>[load_control_history_before_update_array_ptr]</t>
  </si>
  <si>
    <t>%SEPARATOR%; Load pointer to second element of control history array</t>
  </si>
  <si>
    <t>[load_control_history_array_before_update_ptr_reverse]</t>
  </si>
  <si>
    <t>%SEPARATOR%; Load pointer to penultimate element of control history array (reverse addressing)</t>
  </si>
  <si>
    <t>[comp_mac_start_acca_clear_no_prefetch]</t>
  </si>
  <si>
    <t>%SEPARATOR%; Compute compensation filter term</t>
  </si>
  <si>
    <t>clear accumulator A without prefetch of operands</t>
  </si>
  <si>
    <t>clr a</t>
  </si>
  <si>
    <t>[comp_mac_start_acca_clear_prefetch]</t>
  </si>
  <si>
    <t>clear accumulator A and prefetch first operands</t>
  </si>
  <si>
    <t>[comp_mac_start_acca_reverse_clear]</t>
  </si>
  <si>
    <t>clear accumulator A and prefetch last operands</t>
  </si>
  <si>
    <t>[comp_mac_start_acca_resume]</t>
  </si>
  <si>
    <t>leave contents accumulator A untouched and prefetch first operands</t>
  </si>
  <si>
    <t>[comp_mac_start_acca_reverse_resume]</t>
  </si>
  <si>
    <t>leave contents accumulator A untouched and prefetch last operands</t>
  </si>
  <si>
    <t>[comp_mac_start_accb_clear_no_prefetch]</t>
  </si>
  <si>
    <t>%SEPARATOR%; Compute B-Term of the compensation filter</t>
  </si>
  <si>
    <t>clear accumulator B without prefetch of operands</t>
  </si>
  <si>
    <t>clr b</t>
  </si>
  <si>
    <t>[comp_mac_start_accb_clear_prefetch]</t>
  </si>
  <si>
    <t>clear accumulator B and prefetch first operands</t>
  </si>
  <si>
    <t>[comp_mac_start_accb_reverse_clear]</t>
  </si>
  <si>
    <t>clear accumulator B and prefetch last operands</t>
  </si>
  <si>
    <t>[comp_mac_start_accb_resume]</t>
  </si>
  <si>
    <t>leave contents of accumulator B untouched and prefetch first operands</t>
  </si>
  <si>
    <t>[comp_mac_start_accb_reverse_resume]</t>
  </si>
  <si>
    <t>leave contents of accumulator B untouched and prefetch last operands</t>
  </si>
  <si>
    <t>[comp_mac_loop_a_term_acca]</t>
  </si>
  <si>
    <t>multiply control output (n-%INDEX%) from the delay line with coefficient A%INDEX%</t>
  </si>
  <si>
    <t>[comp_mac_loop_a_term_reverse_acca]</t>
  </si>
  <si>
    <t>multiply control output (n-%FO-INDEX%) from the delay line with coefficient A%FO-INDEX%</t>
  </si>
  <si>
    <t>[comp_mac_loop_a_term_accb]</t>
  </si>
  <si>
    <t>[comp_mac_loop_a_term_reverse_accb]</t>
  </si>
  <si>
    <t>[comp_mac_loop_b_term_acca]</t>
  </si>
  <si>
    <t>multiply &amp; accumulate error input (n-%INDEX%) from the delay line with coefficient B%INDEX% and prefetch next operands</t>
  </si>
  <si>
    <t>[comp_mac_loop_b_term_reverse_acca]</t>
  </si>
  <si>
    <t>multiply &amp; accumulate error input (n-%FO-INDEX%) from the delay line with coefficient B%FO-INDEX% and prefetch next operands</t>
  </si>
  <si>
    <t>[comp_mac_loop_b_term_accb]</t>
  </si>
  <si>
    <t>[comp_mac_loop_b_term_reverse_accb]</t>
  </si>
  <si>
    <t>[comp_mac_end_acca]</t>
  </si>
  <si>
    <t>multiply &amp; accumulate last control output with coefficient of the delay line (no more prefetch)</t>
  </si>
  <si>
    <t>mac w4*w6, a</t>
  </si>
  <si>
    <t>[comp_mac_end_accb]</t>
  </si>
  <si>
    <t>multiply &amp; accumulate last error input with coefficient of the delay line (no more prefetch)</t>
  </si>
  <si>
    <t>mac w4*w6, b</t>
  </si>
  <si>
    <t>[comp_backward_norm_acca]</t>
  </si>
  <si>
    <t>%SEPARATOR%; Backward normalization of recent result</t>
  </si>
  <si>
    <t>sftac a, w6</t>
  </si>
  <si>
    <t>[comp_backward_norm_accb]</t>
  </si>
  <si>
    <t>sftac b, w6</t>
  </si>
  <si>
    <t>[comp_backward_norm_coeff_scaler_acca]</t>
  </si>
  <si>
    <t>%SEPARATOR%; Initialize Scale-factor and multiply</t>
  </si>
  <si>
    <t>mpy w4*w6, a</t>
  </si>
  <si>
    <t>[comp_mac_store_acca]</t>
  </si>
  <si>
    <t>store most recent accumulator result in working register</t>
  </si>
  <si>
    <t>sac.r a, w4</t>
  </si>
  <si>
    <t>[comp_mac_store_accb]</t>
  </si>
  <si>
    <t>\n; Backwards normalization of the controller output</t>
  </si>
  <si>
    <t>sac.r b, w4</t>
  </si>
  <si>
    <t>[comp_mac_load32b_a]</t>
  </si>
  <si>
    <t>[comp_mac_load32b_accb]</t>
  </si>
  <si>
    <t>[comp_mac_store32b_a]</t>
  </si>
  <si>
    <t>mov accau, [w0 + #ACCxU]</t>
  </si>
  <si>
    <t>mov accah, [w0 + #ACCxH]</t>
  </si>
  <si>
    <t>mov accal, [w0 + #ACCxL]</t>
  </si>
  <si>
    <t>[comp_mac_store32b_accb]</t>
  </si>
  <si>
    <t>mov accbu, [w0 + #ACCxU]</t>
  </si>
  <si>
    <t>mov accbh, [w0 + #ACCxH]</t>
  </si>
  <si>
    <t>mov accbl, [w0 + #ACCxL]</t>
  </si>
  <si>
    <t>[comp_add_acca_to_accb]</t>
  </si>
  <si>
    <t>add accumulator a to accumulator b</t>
  </si>
  <si>
    <t>add b</t>
  </si>
  <si>
    <t>[comp_add_accb_to_acca]</t>
  </si>
  <si>
    <t>add accumulator b to accumulator a</t>
  </si>
  <si>
    <t>add a</t>
  </si>
  <si>
    <t>[comp_writeback]</t>
  </si>
  <si>
    <t>%SEPARATOR%; Write control output value to target</t>
  </si>
  <si>
    <t>move pointer to target in to working register</t>
  </si>
  <si>
    <t>move control output into target address</t>
  </si>
  <si>
    <t>mov w4, [w8]</t>
  </si>
  <si>
    <t>[comp_writeback_ssm]</t>
  </si>
  <si>
    <t>%SEPARATOR%; Add spread specturm modulator</t>
  </si>
  <si>
    <t>mpy w4*w6, [w8]</t>
  </si>
  <si>
    <t>[adc_trigger_a_placement]</t>
  </si>
  <si>
    <t>%SEPARATOR%; Update ADC trigger A position</t>
  </si>
  <si>
    <t>asr w4, #1, w6</t>
  </si>
  <si>
    <t>add w6, w8, w10</t>
  </si>
  <si>
    <t>mov w10, [w8]</t>
  </si>
  <si>
    <t>[adc_trigger_b_placement]</t>
  </si>
  <si>
    <t>%SEPARATOR%; Update ADC trigger B position</t>
  </si>
  <si>
    <t>[return]</t>
  </si>
  <si>
    <t>%SEPARATOR%; End of routine</t>
  </si>
  <si>
    <t>%SEPARATOR%</t>
  </si>
  <si>
    <t>[end]</t>
  </si>
  <si>
    <t>%SEPARATOR%; End of file</t>
  </si>
  <si>
    <t>.end</t>
  </si>
  <si>
    <t>;</t>
  </si>
  <si>
    <t>; Specific projected floating point instruction blocks</t>
  </si>
  <si>
    <t>[fscl_context_save_mac_registers]</t>
  </si>
  <si>
    <t>save working registers used for MAC operations (w4, w5, w6, w8, w10)</t>
  </si>
  <si>
    <t>push w5</t>
  </si>
  <si>
    <t>[fscl_context_restore_mac_registers]</t>
  </si>
  <si>
    <t>restore working registers used for MAC operations (w4, w5, w6, w8, w10)</t>
  </si>
  <si>
    <t>pop w5</t>
  </si>
  <si>
    <t>[fscl_comp_mac_start_clear]</t>
  </si>
  <si>
    <t>clear both accumulators and prefetch first operands</t>
  </si>
  <si>
    <t>[fscl_comp_mac_start_resume]</t>
  </si>
  <si>
    <t>[fscl_comp_mac_first]</t>
  </si>
  <si>
    <t>multiply control output (n-%INDEX%) from the delay line with coefficient X%INDEX%</t>
  </si>
  <si>
    <t>sftac a, w5</t>
  </si>
  <si>
    <t>[fscl_comp_mac_a_loop]</t>
  </si>
  <si>
    <t>as</t>
  </si>
  <si>
    <t>[fscl_comp_mac_b_loop]</t>
  </si>
  <si>
    <t>bs</t>
  </si>
  <si>
    <t>[fscl_comp_mac_end]</t>
  </si>
  <si>
    <t>;LICENSE / DISCLAIMER ************************************************************\n;  Microchip Technology Inc. and its subsidiaries.  You may use this software \n;  and any derivatives exclusively with Microchip products. \n;  \n;  THIS SOFTWARE IS SUPPLIED BY MICROCHIP "AS IS".  NO WARRANTIES, WHETHER \n;  EXPRESS, IMPLIED OR STATUTORY, APPLY TO THIS SOFTWARE, INCLUDING ANY IMPLIED \n;  WARRANTIES OF NON-INFRINGEMENT, MERCHANTABILITY, AND FITNESS FOR A \n;  PARTICULAR PURPOSE, OR ITS INTERACTION WITH MICROCHIP PRODUCTS, COMBINATION \n;  WITH ANY OTHER PRODUCTS, OR USE IN ANY APPLICATION. \n;  \n;  IN NO EVENT WILL MICROCHIP BE LIABLE FOR ANY INDIRECT, SPECIAL, PUNITIVE, \n;  INCIDENTAL OR CONSEQUENTIAL LOSS, DAMAGE, COST OR EXPENSE OF ANY KIND \n;  WHATSOEVER RELATED TO THE SOFTWARE, HOWEVER CAUSED, EVEN IF MICROCHIP HAS \n;  BEEN ADVISED OF THE POSSIBILITY OR THE DAMAGES ARE FORESEEABLE.  TO THE \n;  FULLEST EXTENT ALLOWED BY LAW, MICROCHIP'S TOTAL LIABILITY ON ALL CLAIMS \n;  IN ANY WAY RELATED TO THIS SOFTWARE WILL NOT EXCEED THE AMOUNT OF FEES, IF \n;  ANY, THAT YOU HAVE PAID DIRECTLY TO MICROCHIP FOR THIS SOFTWARE. \n;  \n;  MICROCHIP PROVIDES THIS SOFTWARE CONDITIONALLY UPON YOUR ACCEPTANCE OF THESE \n;  TERMS. \n; **********************************************************************************</t>
  </si>
  <si>
    <t>%SEPARATOR%; Read data from primary or alternate input source and calculate error input to transfer function</t>
  </si>
  <si>
    <t>load pointer to alternate input source register</t>
  </si>
  <si>
    <t>move value from primary or alternate input source into working register</t>
  </si>
  <si>
    <t>load pointer to primary input source register</t>
  </si>
  <si>
    <t>test SWAP_SOURCE status bit in status word and skip following instruction if cleared</t>
  </si>
  <si>
    <t>[comp_read_input_with_alt_source_switch]</t>
  </si>
  <si>
    <t>move pointer to alternate target to working register</t>
  </si>
  <si>
    <t>move pointer to target to working register</t>
  </si>
  <si>
    <t>if SWAP TARGET option is enabled, execute next instruction</t>
  </si>
  <si>
    <t>[comp_writeback_with_alt_target_switch]</t>
  </si>
  <si>
    <t>calculate error (=reference - input)</t>
  </si>
  <si>
    <t>Andreas Reiter - M91406</t>
  </si>
  <si>
    <t>Dual Bitshift-Scaling Mode</t>
  </si>
  <si>
    <t>01/13/2020;1.3.1;Reordered cascaded function call to execute full cascade even if controller is disabled.</t>
  </si>
  <si>
    <t>shift accumulator to post-scale floating number</t>
  </si>
  <si>
    <t>adding accumulator b to a</t>
  </si>
  <si>
    <t>load scaler into wreg</t>
  </si>
  <si>
    <t>leave contents of accumulator B unchanged</t>
  </si>
  <si>
    <t>03/02/2020;1.3.2;Added comments to assembly building blocks</t>
  </si>
  <si>
    <t>03/04/2020;1.3.3;Fixed bug in single bit-shift scaler data structure declaration</t>
  </si>
  <si>
    <t>03/04/2020;1.3.4;Fixed bug with corrupted character in floating point scaling data structure</t>
  </si>
  <si>
    <t>sftac b, w2</t>
  </si>
  <si>
    <t>multiply accumulator B result with AGC modulation factor</t>
  </si>
  <si>
    <t>[agc_factor_multiply_scaled]</t>
  </si>
  <si>
    <t>code30</t>
  </si>
  <si>
    <t>code31</t>
  </si>
  <si>
    <t>code32</t>
  </si>
  <si>
    <t>code33</t>
  </si>
  <si>
    <t>code34</t>
  </si>
  <si>
    <t>comment30</t>
  </si>
  <si>
    <t>comment31</t>
  </si>
  <si>
    <t>comment32</t>
  </si>
  <si>
    <t>comment33</t>
  </si>
  <si>
    <t>comment34</t>
  </si>
  <si>
    <t>.equ NPNZ16_STATUS_INVERT_INPUT, 14</t>
  </si>
  <si>
    <t>.equ NPNZ16_STATUS_SWAP_SOURCE,  13</t>
  </si>
  <si>
    <t>.equ NPNZ16_STATUS_SWAP_TARGET,  12</t>
  </si>
  <si>
    <t>.equ NPNZ16_STATUS_USAT,         1</t>
  </si>
  <si>
    <t>.equ NPNZ16_STATUS_LSAT,         0</t>
  </si>
  <si>
    <t>bset w12, #NPNZ16_STATUS_USAT</t>
  </si>
  <si>
    <t>bclr w12, #NPNZ16_STATUS_USAT</t>
  </si>
  <si>
    <t>bset w12, #NPNZ16_STATUS_LSAT</t>
  </si>
  <si>
    <t>bclr w12, #NPNZ16_STATUS_LSAT</t>
  </si>
  <si>
    <t>btsc w12, #NPNZ16_STATUS_SWAP_SOURCE</t>
  </si>
  <si>
    <t>btsc w12, #NPNZ16_STATUS_INVERT_INPUT</t>
  </si>
  <si>
    <t>btsc w12, #NPNZ16_STATUS_SWAP_TARGET</t>
  </si>
  <si>
    <t>03/24/2020;1.3.8;Renamed data structure prefix NPMZ16_ to NPNZ16_</t>
  </si>
  <si>
    <t>%SEPARATOR%; Adaptive Loop Gain Modulation</t>
  </si>
  <si>
    <t>sac.r b, w6</t>
  </si>
  <si>
    <t>mpy w4*w6, b</t>
  </si>
  <si>
    <t>load AGC modulation factor into working register</t>
  </si>
  <si>
    <t>load AGC modulation factor scaler into working register</t>
  </si>
  <si>
    <t>shift result by AGC scaler</t>
  </si>
  <si>
    <t>check status bit if Adaptive Gain Control is enabled</t>
  </si>
  <si>
    <t>branch to end of AGC calculation if not</t>
  </si>
  <si>
    <t>store result of accumulator B in working register</t>
  </si>
  <si>
    <t>[agc_factor_multiply_start]</t>
  </si>
  <si>
    <t>[agc_factor_multiply_enable_start]</t>
  </si>
  <si>
    <t>[agc_factor_multiply_enable_end]</t>
  </si>
  <si>
    <t>%SEPARATOR%; Global function declaration %PREFIXG%_GetGainFactor\n; This function calculates a the gain modulation factor \n; by deviding Alternate Source by Source%SEPARATOR%</t>
  </si>
  <si>
    <t>.global %PREFIXG%_GetGainFactor</t>
  </si>
  <si>
    <r>
      <t>%PREFIXG%_</t>
    </r>
    <r>
      <rPr>
        <b/>
        <sz val="11"/>
        <color theme="1"/>
        <rFont val="Courier New"/>
        <family val="3"/>
      </rPr>
      <t>GetGainFactor</t>
    </r>
    <r>
      <rPr>
        <sz val="11"/>
        <color theme="1"/>
        <rFont val="Courier New"/>
        <family val="3"/>
      </rPr>
      <t>:\n</t>
    </r>
  </si>
  <si>
    <t xml:space="preserve">mov [w1], w1 </t>
  </si>
  <si>
    <t>sl  w1, w3, w1</t>
  </si>
  <si>
    <t>mov [w2], w2</t>
  </si>
  <si>
    <t>sl  w2, w2, w2</t>
  </si>
  <si>
    <t>sub w1, w2, w6</t>
  </si>
  <si>
    <t>clr  w0</t>
  </si>
  <si>
    <t>clr  w1</t>
  </si>
  <si>
    <t>sl w0, #1, w0</t>
  </si>
  <si>
    <t>mov w0, w2</t>
  </si>
  <si>
    <t>move gain factor result back into data structure</t>
  </si>
  <si>
    <t>load pointer to most recent input voltage register</t>
  </si>
  <si>
    <t>load value into w1</t>
  </si>
  <si>
    <t>load most recent input voltage normalization scaler</t>
  </si>
  <si>
    <t>normalize input voltage value</t>
  </si>
  <si>
    <t>load pointer to most recent output voltage register</t>
  </si>
  <si>
    <t>load value into w2</t>
  </si>
  <si>
    <t>normalize output voltage value</t>
  </si>
  <si>
    <t>load most recent output voltage normalization scaler</t>
  </si>
  <si>
    <t>calculate most recent VL, place result in w6</t>
  </si>
  <si>
    <t>load pointer to nominal VL</t>
  </si>
  <si>
    <t>Save working register WREG0 (holds data structure start address)</t>
  </si>
  <si>
    <t>clear divider target register #0</t>
  </si>
  <si>
    <t>clear divider target register #1</t>
  </si>
  <si>
    <t>repeat divide instructions n-times</t>
  </si>
  <si>
    <t>divide nominal VL by instantaneous VL</t>
  </si>
  <si>
    <t>normalize result to Q15 number</t>
  </si>
  <si>
    <t>move result outo f WREG0</t>
  </si>
  <si>
    <t>restore WREG0 to get access to data structure back</t>
  </si>
  <si>
    <t>call %PREFIXG%_GetGainFactor</t>
  </si>
  <si>
    <t>call function determining most recent modulation factor</t>
  </si>
  <si>
    <t>[agc_factor_multiply_get_factor_call]</t>
  </si>
  <si>
    <t>[agc_factor_get_factor]</t>
  </si>
  <si>
    <t>branch target for AGC enable-/disable-switch</t>
  </si>
  <si>
    <t>agc_factor_multiply_start</t>
  </si>
  <si>
    <t>agc_factor_multiply_enable_start</t>
  </si>
  <si>
    <t>agc_factor_multiply_enable_end</t>
  </si>
  <si>
    <t>agc_factor_multiply_get_factor_call</t>
  </si>
  <si>
    <t>agc_factor_multiply_scaled</t>
  </si>
  <si>
    <t>This script defines DSP assembly code generation templates used to generate user-tailored SMPS control loops using the DCLD SDK</t>
  </si>
  <si>
    <t>[filter_block_array_addressing_coeff]</t>
  </si>
  <si>
    <t>03/26/2020;2.0.0;Introduction of unified 32-bit wide coefficient number format</t>
  </si>
  <si>
    <t>[filter_block_array_addressing_data]</t>
  </si>
  <si>
    <t>mov [w10 + #%INDEX*ADDR_DATA-ADDR_DATA%], w6</t>
  </si>
  <si>
    <t>mov w6, [w10 + #%INDEX*ADDR_DATA%]</t>
  </si>
  <si>
    <t>mov w6, [w10 + #%FO*ADDR_DATA% - #%INDEX*ADDR_DATA%]</t>
  </si>
  <si>
    <t>mov w1, [w10 + #%FO*ADDR_DATA% - %FO*ADDR_DATA%]</t>
  </si>
  <si>
    <t>mov [w10 + #%FO*ADDR_DATA% - #%INDEX*ADDR_DATA+ADDR_DATA%], w6</t>
  </si>
  <si>
    <t>mov w4, [w10 - %FO*ADDR_DATA%]</t>
  </si>
  <si>
    <t>add w8, #%FO*ADDR_COEF%, w8</t>
  </si>
  <si>
    <t>add w10, #%FO*ADDR_DATA%, w10</t>
  </si>
  <si>
    <t>add w10, #%ADDR_DATA%, w10</t>
  </si>
  <si>
    <t>add w10, #%FO*ADDR_DATA-ADDR_DATA%, w10</t>
  </si>
  <si>
    <t>clr a, [w8]+=%ADDR_COEF%, w4, [w10]+=%ADDR_DATA%, w6</t>
  </si>
  <si>
    <t>clr a, [w8]-=%ADDR_COEF%, w4, [w10 + #%FO*ADDR_DATA%]-=%ADDR_DATA%, w6</t>
  </si>
  <si>
    <t>movsac a, [w8]+=%ADDR_COEF%, w4, [w10]+=%ADDR_DATA%, w6</t>
  </si>
  <si>
    <t>movsac a, [w8]-=%ADDR_COEF%, w4, [w10]-=%ADDR_DATA%, w6</t>
  </si>
  <si>
    <t>clr b, [w8]+=%ADDR_COEF%, w4, [w10]+=%ADDR_DATA%, w6</t>
  </si>
  <si>
    <t>clr b, [w8]-=%ADDR_COEF%, w4, [w10 + #%FO*ADDR_DATA%]-=%ADDR_DATA%, w6</t>
  </si>
  <si>
    <t>movsac b, [w8]+=%ADDR_COEF%, w4, [w10]+=%ADDR_DATA%, w6</t>
  </si>
  <si>
    <t>movsac b, [w8]-=%ADDR_COEF%, w4, [w10]-=%ADDR_DATA%, w6</t>
  </si>
  <si>
    <t>mac w4*w6, a, [w8]+=%ADDR_COEF%, w4, [w10]+=%ADDR_DATA%, w6</t>
  </si>
  <si>
    <t>mac w4*w6, a, [w8]-=%ADDR_COEF%, w4, [w10]-=%ADDR_DATA%, w6</t>
  </si>
  <si>
    <t>mac w4*w6, b, [w8]+=%ADDR_COEF%, w4, [w10]+=%ADDR_DATA%, w6</t>
  </si>
  <si>
    <t>mac w4*w6, b, [w8]-=%ADDR_COEF%, w4, [w10]-=%ADDR_DATA%, w6</t>
  </si>
  <si>
    <t>clr b, [w8]+=%ADDR_DATA%, w5</t>
  </si>
  <si>
    <t>movsac b, [w8]+=%ADDR_DATA%, w5</t>
  </si>
  <si>
    <t>mpy w4*w6, a, [w8]+=%ADDR_COEF%, w4, [w10]+=%ADDR_DATA%, w6</t>
  </si>
  <si>
    <t>mov [w8 - #%ADDR_DATA*3%], w5</t>
  </si>
  <si>
    <t>code35</t>
  </si>
  <si>
    <t>code36</t>
  </si>
  <si>
    <t>code37</t>
  </si>
  <si>
    <t>code38</t>
  </si>
  <si>
    <t>code39</t>
  </si>
  <si>
    <t>code40</t>
  </si>
  <si>
    <t>code41</t>
  </si>
  <si>
    <t>code42</t>
  </si>
  <si>
    <t>code43</t>
  </si>
  <si>
    <t>code44</t>
  </si>
  <si>
    <t>code45</t>
  </si>
  <si>
    <t>code46</t>
  </si>
  <si>
    <t>code47</t>
  </si>
  <si>
    <t>code48</t>
  </si>
  <si>
    <t>controller object status word at address-offset = 0</t>
  </si>
  <si>
    <t>parameter group Ports.Source: bit-shift scaler of normalization factor</t>
  </si>
  <si>
    <t>parameter group Ports.Source: Q15 normalization factor</t>
  </si>
  <si>
    <t>parameter group Ports.Source: pointer to source memory address</t>
  </si>
  <si>
    <t>parameter group Ports.AltSource: bit-shift scaler of normalization factor</t>
  </si>
  <si>
    <t>parameter group Ports.AltSource: Q15 normalization factor</t>
  </si>
  <si>
    <t>parameter group Ports.Target: bit-shift scaler of normalization factor</t>
  </si>
  <si>
    <t>parameter group Ports.Target: Q15 normalization factor</t>
  </si>
  <si>
    <t>parameter group Ports.Target: pointer to target memory address</t>
  </si>
  <si>
    <t>parameter group Ports.AltSource: pointer to alternate source memory address</t>
  </si>
  <si>
    <t>parameter group Ports.AltTarget: bit-shift scaler of normalization factor</t>
  </si>
  <si>
    <t>parameter group Ports.AltTarget: Q15 normalization factor</t>
  </si>
  <si>
    <t>parameter group Ports.Target: value of target output signal/value offset</t>
  </si>
  <si>
    <t>parameter group Ports.Source: value of source input signal/value offset</t>
  </si>
  <si>
    <t>parameter group Ports.AltSource: value of alternate source input signal/value offset</t>
  </si>
  <si>
    <t>parameter group Ports.AltTarget: pointer to alternate target memory address</t>
  </si>
  <si>
    <t>parameter group Ports.AltTarget: value of alternate target output sigal/value offset</t>
  </si>
  <si>
    <t>parameter group Ports.ConrolReference: pointer to control reference variable/register memory address</t>
  </si>
  <si>
    <t>parameter group Filter: pointer to A-coefficients array start address</t>
  </si>
  <si>
    <t>parameter group Filter: pointer to B-coefficients array start address</t>
  </si>
  <si>
    <t>parameter group Filter: pointer to control history array start address</t>
  </si>
  <si>
    <t>parameter group Filter: pointer to error history array start address</t>
  </si>
  <si>
    <t>parameter group Filter: size of the A-coefficients array</t>
  </si>
  <si>
    <t>parameter group Filter: size of the B-coefficients array</t>
  </si>
  <si>
    <t>parameter group Filter: size of the control history array</t>
  </si>
  <si>
    <t>parameter group Filter: size of the error history array</t>
  </si>
  <si>
    <t>parameter group Filter: value of input value normalization bit-shift scaler</t>
  </si>
  <si>
    <t>parameter group Filter: value of A-term normalization bit-shift scaler</t>
  </si>
  <si>
    <t>parameter group Filter: (reserved)</t>
  </si>
  <si>
    <t>parameter group Filter: control loop output normalization factor</t>
  </si>
  <si>
    <t>comment35</t>
  </si>
  <si>
    <t>comment36</t>
  </si>
  <si>
    <t>comment37</t>
  </si>
  <si>
    <t>comment38</t>
  </si>
  <si>
    <t>comment39</t>
  </si>
  <si>
    <t>comment40</t>
  </si>
  <si>
    <t>comment41</t>
  </si>
  <si>
    <t>comment42</t>
  </si>
  <si>
    <t>comment43</t>
  </si>
  <si>
    <t>comment44</t>
  </si>
  <si>
    <t>comment45</t>
  </si>
  <si>
    <t>comment46</t>
  </si>
  <si>
    <t>comment47</t>
  </si>
  <si>
    <t>comment48</t>
  </si>
  <si>
    <t>comment49</t>
  </si>
  <si>
    <t xml:space="preserve">parameter group Limits: maximum clamping value of primary control output </t>
  </si>
  <si>
    <t xml:space="preserve">parameter group Limits: minimum clamping value of primary control output </t>
  </si>
  <si>
    <t xml:space="preserve">parameter group Limits: minimum clamping value of alternate control output </t>
  </si>
  <si>
    <t xml:space="preserve">parameter group Limits: maximum clamping value of alternate control output </t>
  </si>
  <si>
    <t>parameter group TriggerControl: pointer to ADC trigger A register memory address</t>
  </si>
  <si>
    <t>parameter group TriggerControl: value of ADC trigger A offset</t>
  </si>
  <si>
    <t>parameter group TriggerControl: pointer to ADC trigger B register memory address</t>
  </si>
  <si>
    <t>parameter group TriggerControl: value of ADC trigger B offset</t>
  </si>
  <si>
    <t>parameter group DataProviders: pointer to external variable/register the most recent control error will be pushed to</t>
  </si>
  <si>
    <t>parameter group DataProviders: pointer to external variable/register the most recent control input will be pushed to</t>
  </si>
  <si>
    <t>parameter group DataProviders: pointer to external variable/register the most recent control output will be pushed to</t>
  </si>
  <si>
    <t>parameter group CascadeTrigger: pointer to external, cascaded function which will be called by this controller</t>
  </si>
  <si>
    <t>parameter group CascadeTrigger: 16-bit wide function parameter or pointer to a parameter data structure of cascaded function</t>
  </si>
  <si>
    <t>parameter group Advanced: generic 16-bit wide, user-defined parameter #1 for advanced control options</t>
  </si>
  <si>
    <t>parameter group Advanced: generic 16-bit wide, user-defined parameter #2 for advanced control options</t>
  </si>
  <si>
    <t>parameter group Advanced: generic 16-bit wide, user-defined parameter #3 for advanced control options</t>
  </si>
  <si>
    <t>parameter group Advanced: generic 16-bit wide, user-defined parameter #4 for advanced control options</t>
  </si>
  <si>
    <t>code49</t>
  </si>
  <si>
    <t>2.0.5</t>
  </si>
  <si>
    <t>mov [w0 + #ptrSourceRegister], w2</t>
  </si>
  <si>
    <t>mov [w0 + #SourceOffset], w2</t>
  </si>
  <si>
    <t>mov [w0 + #ptrAltSourceRegister], w2</t>
  </si>
  <si>
    <t>mov [w0 + #ptrAltSourceRegister], w1</t>
  </si>
  <si>
    <t>mov [w0 + #ptrTargetRegister], w8</t>
  </si>
  <si>
    <t>mov [w0 + #ptrAltTargetRegister], w8</t>
  </si>
  <si>
    <t>mov [w0 + #ptrACoefficients], w8</t>
  </si>
  <si>
    <t>mov [w0 + #ptrBCoefficients], w8</t>
  </si>
  <si>
    <t>mov  [w0 + #ptrControlHistory], w0</t>
  </si>
  <si>
    <t>mov w4, [w0 + #ptrControlHistory]</t>
  </si>
  <si>
    <t>mov [w0 + #ptrControlHistory], w10</t>
  </si>
  <si>
    <t>mov [w0 + #ptrControlHistory + %FO*ADDR_DATA-ADDR_DATA%], w10</t>
  </si>
  <si>
    <t>mov [w0 + #ptrErrorHistory], w0</t>
  </si>
  <si>
    <t>mov  [w0 + #ptrErrorHistory], w0</t>
  </si>
  <si>
    <t>mov [w0 + #ptrErrorHistory], w6</t>
  </si>
  <si>
    <t>mov [w0 + #ptrErrorHistory], w10</t>
  </si>
  <si>
    <t>mov [w0 + #PreShift], w2</t>
  </si>
  <si>
    <t>mov [w0 + #PostShiftA], w6</t>
  </si>
  <si>
    <t>mov [w0 + #PostShiftB], w6</t>
  </si>
  <si>
    <t>mov [w0 + #MinOutput], w6</t>
  </si>
  <si>
    <t>mov [w0 + #MaxOutput], w6</t>
  </si>
  <si>
    <t>mov [w0 + #ptrADCTriggerARegister], w8</t>
  </si>
  <si>
    <t>mov [w0 + #ptrADCTriggerBRegister], w8</t>
  </si>
  <si>
    <t>mov [w0 + #ADCTriggerAOffset], w8</t>
  </si>
  <si>
    <t>mov [w0 + #ADCTriggerBOffset], w8</t>
  </si>
  <si>
    <t>mov [w0 + #ptrDProvControlInput], w2</t>
  </si>
  <si>
    <t>mov [w0 + #ptrDProvControlError], w2</t>
  </si>
  <si>
    <t>mov [w0 + #ptrDProvControlOutput], w2</t>
  </si>
  <si>
    <t>mov [w0 + #ptrCascadedFunction], w1</t>
  </si>
  <si>
    <t>mov [w0 + #CascadedFunParam], w0</t>
  </si>
  <si>
    <t>mov [w0 + #agcGainModScaler], w2</t>
  </si>
  <si>
    <t>mov w2, [w0 + #agcGainModFactor]</t>
  </si>
  <si>
    <t xml:space="preserve">mov [w0 + #agcGainModFactor], w4  </t>
  </si>
  <si>
    <t>mov [w0 + #agcGainModMedian], w4</t>
  </si>
  <si>
    <t>mov [w0 + SourceNormShift], w3</t>
  </si>
  <si>
    <t>mov [w0 + AltSourceNormShift], w3</t>
  </si>
  <si>
    <t>.equ	Status, 0</t>
  </si>
  <si>
    <t>mov [w0 + #Status], w12</t>
  </si>
  <si>
    <t>mov w12, [w0 + #Status]</t>
  </si>
  <si>
    <t>mov [w0 + #ptrCtrlReference], w2</t>
  </si>
  <si>
    <t>bra %PREFIXU%_BYPASS_AGC</t>
  </si>
  <si>
    <t>%PREFIXU%_BYPASS_AGC:</t>
  </si>
  <si>
    <t>btss w12, #NPMZ16_STATUS_AGC_ENABLED</t>
  </si>
  <si>
    <t>bit position of the AGC_ENABLED control bit</t>
  </si>
  <si>
    <t>.equ NPNZ16_STATUS_ENABLED,      15</t>
  </si>
  <si>
    <t>.equ NPNZ16_STATUS_AGC_ENABLED,  11</t>
  </si>
  <si>
    <t>.equ NPNZ16_STATUS_ENABLED, 15</t>
  </si>
  <si>
    <t>btss w12, #NPNZ16_STATUS_ENABLED</t>
  </si>
  <si>
    <t>mov [w0 + #PostScaler],  w6</t>
  </si>
  <si>
    <t>load B-coefficients post bit-shift scaler value into working register</t>
  </si>
  <si>
    <t>shift accumulator B by number of bits loaded in working register</t>
  </si>
  <si>
    <t>03/27/2020;2.0.1;Separated controller input and output port definitions in individual data structures with normalization parameters</t>
  </si>
  <si>
    <t>load default value of DSP core configuration enabling saturation and signed fractional multiply</t>
  </si>
  <si>
    <t>load default configuration into CORCON register</t>
  </si>
  <si>
    <t>update value of the status word in data structure</t>
  </si>
  <si>
    <t>half control output by shifting value one bit to the right</t>
  </si>
  <si>
    <t>load user-defined ADC trigger A offset value into working register</t>
  </si>
  <si>
    <t>add user-defined ADC trigger A offset to half of control output</t>
  </si>
  <si>
    <t>load pointer to ADC trigger A register into working register</t>
  </si>
  <si>
    <t>push new ADC trigger value to ADC trigger B register</t>
  </si>
  <si>
    <t>load pointer to ADC trigger B register into working register</t>
  </si>
  <si>
    <t>add user-defined ADC trigger B offset to half of control output</t>
  </si>
  <si>
    <t>load user-defined ADC trigger B offset value into working register</t>
  </si>
  <si>
    <t>push new ADC trigger value to ADC trigger A register</t>
  </si>
  <si>
    <t>restore contents of working register WREG0</t>
  </si>
  <si>
    <t>set pointer to the base address of control history array</t>
  </si>
  <si>
    <t>clear last address of control history array</t>
  </si>
  <si>
    <t>clear next address of control history array</t>
  </si>
  <si>
    <t>set pointer to the base address of error history array</t>
  </si>
  <si>
    <t>load user value into last address of error history array</t>
  </si>
  <si>
    <t>restore contents of working register WREG1</t>
  </si>
  <si>
    <t>save contents of working register WREG0</t>
  </si>
  <si>
    <t>save contents of working register WREG1</t>
  </si>
  <si>
    <t>clear last address of error history array</t>
  </si>
  <si>
    <t>save contents of working register WREG2</t>
  </si>
  <si>
    <t>restore contents of working register WREG2</t>
  </si>
  <si>
    <t>load value of status word into working register</t>
  </si>
  <si>
    <t>if ENABLED bit is cleared, jump to end of control code</t>
  </si>
  <si>
    <t>check ENABLED bit state, skip (do not execute) next instruction if set</t>
  </si>
  <si>
    <t>shift accumulator A by number of bits loaded in working register</t>
  </si>
  <si>
    <t>load A-coefficients post bit-shift scaler value into working register</t>
  </si>
  <si>
    <t>load post scaler fractional value into working register</t>
  </si>
  <si>
    <t>multiply control output by scaler value loaded into working register</t>
  </si>
  <si>
    <t>load value of saved accumulator upper word into accumulator A</t>
  </si>
  <si>
    <t>load value of saved accumulator high word into accumulator A</t>
  </si>
  <si>
    <t>load value of saved accumulator low word into accumulator A</t>
  </si>
  <si>
    <t>load value of saved accumulator upper word into accumulator B</t>
  </si>
  <si>
    <t>load value of saved accumulator high word into accumulator B</t>
  </si>
  <si>
    <t>load value of saved accumulator low word into accumulator B</t>
  </si>
  <si>
    <t>store value of accumulator B upper word into data structure</t>
  </si>
  <si>
    <t>store value of accumulator B high word into data structure</t>
  </si>
  <si>
    <t>store value of accumulator B low word into data structure</t>
  </si>
  <si>
    <t>store value of accumulator A upper word into data structure</t>
  </si>
  <si>
    <t>store value of accumulator A high word into data structure</t>
  </si>
  <si>
    <t>store value of accumulator A low word into data structure</t>
  </si>
  <si>
    <t>mov [w0 + #ACCxU], accbu</t>
  </si>
  <si>
    <t>mov [w0 + #ACCxH], accbh</t>
  </si>
  <si>
    <t>mov [w0 + #ACCxL], accbl</t>
  </si>
  <si>
    <t>mov [w0 + #ACCxU], accau</t>
  </si>
  <si>
    <t>mov [w0 + #ACCxH], accah</t>
  </si>
  <si>
    <t>mov [w0 + #ACCxL], accal</t>
  </si>
  <si>
    <t>mov [w0 + #ssmFactor], w6</t>
  </si>
  <si>
    <t>parameter group GainControl: Q15 value of Adaptive Gain Control Modulation factor</t>
  </si>
  <si>
    <t>parameter group GainControl: Q15 value of Adaptive Gain Control Modulation norminal operating point</t>
  </si>
  <si>
    <t>parameter group GainControl: bit-shift scaler of Adaptive Gain Control Modulation factor</t>
  </si>
  <si>
    <t>03/24/2020;1.3.5;Added Adaptive Gain Control Modulation factors to cNPNZ_t data structure</t>
  </si>
  <si>
    <t>03/25/2020;1.3.9;Added Adaptive Gain Control Modulation to single.bit shifted, dual bit shifted and output factor scaling modes</t>
  </si>
  <si>
    <t>repeat #[%P33C%$5][%P33E%$17][%P33F%$17]</t>
  </si>
  <si>
    <t>divf w4, w6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</si>
</sst>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0"/>
      <name val="Courier New"/>
      <family val="3"/>
    </font>
    <font>
      <sz val="8"/>
      <name val="Calibri"/>
      <family val="2"/>
      <scheme val="minor"/>
    </font>
    <font>
      <b/>
      <sz val="11"/>
      <color theme="1"/>
      <name val="Courier New"/>
      <family val="3"/>
    </font>
    <font>
      <b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2" fillId="3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left"/>
    </xf>
    <xf numFmtId="0" fontId="1" fillId="4" borderId="0" xfId="0" applyFont="1" applyFill="1"/>
    <xf numFmtId="0" fontId="2" fillId="0" borderId="0" xfId="0" applyFont="1" applyFill="1"/>
    <xf numFmtId="0" fontId="2" fillId="2" borderId="1" xfId="0" applyFont="1" applyFill="1" applyBorder="1" applyAlignment="1">
      <alignment horizontal="left"/>
    </xf>
    <xf numFmtId="0" fontId="2" fillId="0" borderId="0" xfId="0" applyFont="1" applyAlignment="1">
      <alignment wrapText="1"/>
    </xf>
    <xf numFmtId="0" fontId="2" fillId="2" borderId="3" xfId="0" applyFont="1" applyFill="1" applyBorder="1" applyAlignment="1">
      <alignment horizontal="left"/>
    </xf>
    <xf numFmtId="0" fontId="6" fillId="4" borderId="2" xfId="0" applyFont="1" applyFill="1" applyBorder="1"/>
    <xf numFmtId="0" fontId="7" fillId="0" borderId="2" xfId="0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F862D-CCD3-43D4-94B8-BB2281D0D57E}">
  <sheetPr codeName="Sheet11"/>
  <dimension ref="A1:C60"/>
  <sheetViews>
    <sheetView workbookViewId="0">
      <selection activeCell="C23" sqref="C23"/>
    </sheetView>
  </sheetViews>
  <sheetFormatPr defaultRowHeight="15" x14ac:dyDescent="0.25"/>
  <cols>
    <col min="1" max="1" width="23.7109375" style="4" customWidth="1"/>
    <col min="2" max="2" width="2.5703125" style="8" bestFit="1" customWidth="1"/>
    <col min="3" max="3" width="105.7109375" style="1" customWidth="1"/>
  </cols>
  <sheetData>
    <row r="1" spans="1:3" s="7" customFormat="1" ht="15.75" x14ac:dyDescent="0.3">
      <c r="A1" s="5" t="s">
        <v>186</v>
      </c>
      <c r="B1" s="5"/>
      <c r="C1" s="5"/>
    </row>
    <row r="2" spans="1:3" x14ac:dyDescent="0.25">
      <c r="A2" s="4" t="s">
        <v>187</v>
      </c>
      <c r="B2" s="8" t="s">
        <v>1</v>
      </c>
      <c r="C2" s="1" t="s">
        <v>188</v>
      </c>
    </row>
    <row r="3" spans="1:3" x14ac:dyDescent="0.25">
      <c r="A3" s="4" t="s">
        <v>189</v>
      </c>
      <c r="B3" s="8" t="s">
        <v>1</v>
      </c>
      <c r="C3" s="1" t="s">
        <v>736</v>
      </c>
    </row>
    <row r="4" spans="1:3" x14ac:dyDescent="0.25">
      <c r="A4" s="4" t="s">
        <v>190</v>
      </c>
      <c r="B4" s="8" t="s">
        <v>1</v>
      </c>
      <c r="C4" s="1" t="s">
        <v>647</v>
      </c>
    </row>
    <row r="5" spans="1:3" x14ac:dyDescent="0.25">
      <c r="A5" s="4" t="s">
        <v>191</v>
      </c>
      <c r="B5" s="8" t="s">
        <v>1</v>
      </c>
      <c r="C5" s="1" t="s">
        <v>843</v>
      </c>
    </row>
    <row r="6" spans="1:3" x14ac:dyDescent="0.25">
      <c r="A6" s="4" t="s">
        <v>192</v>
      </c>
      <c r="B6" s="8" t="s">
        <v>1</v>
      </c>
      <c r="C6" s="3">
        <v>43917</v>
      </c>
    </row>
    <row r="8" spans="1:3" s="7" customFormat="1" ht="15.75" x14ac:dyDescent="0.3">
      <c r="A8" s="5" t="s">
        <v>193</v>
      </c>
      <c r="B8" s="5"/>
      <c r="C8" s="5"/>
    </row>
    <row r="9" spans="1:3" x14ac:dyDescent="0.25">
      <c r="A9" s="4" t="s">
        <v>76</v>
      </c>
      <c r="B9" s="8" t="s">
        <v>1</v>
      </c>
      <c r="C9" s="9">
        <f>COUNTA(A10:A26)</f>
        <v>16</v>
      </c>
    </row>
    <row r="10" spans="1:3" x14ac:dyDescent="0.25">
      <c r="A10" s="4">
        <v>0</v>
      </c>
      <c r="B10" s="8" t="s">
        <v>1</v>
      </c>
      <c r="C10" s="1" t="s">
        <v>207</v>
      </c>
    </row>
    <row r="11" spans="1:3" x14ac:dyDescent="0.25">
      <c r="A11" s="4">
        <v>1</v>
      </c>
      <c r="B11" s="8" t="s">
        <v>1</v>
      </c>
      <c r="C11" s="1" t="s">
        <v>206</v>
      </c>
    </row>
    <row r="12" spans="1:3" x14ac:dyDescent="0.25">
      <c r="A12" s="4">
        <v>2</v>
      </c>
      <c r="B12" s="8" t="s">
        <v>1</v>
      </c>
      <c r="C12" s="1" t="s">
        <v>205</v>
      </c>
    </row>
    <row r="13" spans="1:3" x14ac:dyDescent="0.25">
      <c r="A13" s="4">
        <v>3</v>
      </c>
      <c r="B13" s="8" t="s">
        <v>1</v>
      </c>
      <c r="C13" s="1" t="s">
        <v>204</v>
      </c>
    </row>
    <row r="14" spans="1:3" x14ac:dyDescent="0.25">
      <c r="A14" s="4">
        <v>4</v>
      </c>
      <c r="B14" s="8" t="s">
        <v>1</v>
      </c>
      <c r="C14" s="1" t="s">
        <v>203</v>
      </c>
    </row>
    <row r="15" spans="1:3" x14ac:dyDescent="0.25">
      <c r="A15" s="4">
        <v>5</v>
      </c>
      <c r="B15" s="8" t="s">
        <v>1</v>
      </c>
      <c r="C15" s="1" t="s">
        <v>202</v>
      </c>
    </row>
    <row r="16" spans="1:3" x14ac:dyDescent="0.25">
      <c r="A16" s="4">
        <v>6</v>
      </c>
      <c r="B16" s="8" t="s">
        <v>1</v>
      </c>
      <c r="C16" s="1" t="s">
        <v>201</v>
      </c>
    </row>
    <row r="17" spans="1:3" x14ac:dyDescent="0.25">
      <c r="A17" s="4">
        <v>7</v>
      </c>
      <c r="B17" s="8" t="s">
        <v>1</v>
      </c>
      <c r="C17" s="1" t="s">
        <v>649</v>
      </c>
    </row>
    <row r="18" spans="1:3" x14ac:dyDescent="0.25">
      <c r="A18" s="4">
        <v>8</v>
      </c>
      <c r="B18" s="8" t="s">
        <v>1</v>
      </c>
      <c r="C18" s="1" t="s">
        <v>654</v>
      </c>
    </row>
    <row r="19" spans="1:3" x14ac:dyDescent="0.25">
      <c r="A19" s="4">
        <v>9</v>
      </c>
      <c r="B19" s="8" t="s">
        <v>1</v>
      </c>
      <c r="C19" s="1" t="s">
        <v>655</v>
      </c>
    </row>
    <row r="20" spans="1:3" x14ac:dyDescent="0.25">
      <c r="A20" s="4">
        <v>10</v>
      </c>
      <c r="B20" s="8" t="s">
        <v>1</v>
      </c>
      <c r="C20" s="1" t="s">
        <v>656</v>
      </c>
    </row>
    <row r="21" spans="1:3" x14ac:dyDescent="0.25">
      <c r="A21" s="4">
        <v>11</v>
      </c>
      <c r="B21" s="8" t="s">
        <v>1</v>
      </c>
      <c r="C21" s="1" t="s">
        <v>949</v>
      </c>
    </row>
    <row r="22" spans="1:3" x14ac:dyDescent="0.25">
      <c r="A22" s="4">
        <v>12</v>
      </c>
      <c r="B22" s="8" t="s">
        <v>1</v>
      </c>
      <c r="C22" s="1" t="s">
        <v>682</v>
      </c>
    </row>
    <row r="23" spans="1:3" x14ac:dyDescent="0.25">
      <c r="A23" s="4">
        <v>13</v>
      </c>
      <c r="B23" s="8" t="s">
        <v>1</v>
      </c>
      <c r="C23" s="1" t="s">
        <v>950</v>
      </c>
    </row>
    <row r="24" spans="1:3" x14ac:dyDescent="0.25">
      <c r="A24" s="4">
        <v>14</v>
      </c>
      <c r="B24" s="8" t="s">
        <v>1</v>
      </c>
      <c r="C24" s="1" t="s">
        <v>738</v>
      </c>
    </row>
    <row r="25" spans="1:3" x14ac:dyDescent="0.25">
      <c r="A25" s="4">
        <v>15</v>
      </c>
      <c r="B25" s="8" t="s">
        <v>1</v>
      </c>
      <c r="C25" s="1" t="s">
        <v>895</v>
      </c>
    </row>
    <row r="27" spans="1:3" s="7" customFormat="1" ht="15.75" x14ac:dyDescent="0.3">
      <c r="A27" s="5" t="s">
        <v>194</v>
      </c>
      <c r="B27" s="5"/>
      <c r="C27" s="5"/>
    </row>
    <row r="28" spans="1:3" x14ac:dyDescent="0.25">
      <c r="A28" s="4" t="s">
        <v>76</v>
      </c>
      <c r="B28" s="8" t="s">
        <v>1</v>
      </c>
      <c r="C28" s="9">
        <f>COUNTA(A29:A35)</f>
        <v>6</v>
      </c>
    </row>
    <row r="29" spans="1:3" x14ac:dyDescent="0.25">
      <c r="A29" s="4">
        <v>0</v>
      </c>
      <c r="B29" s="8" t="s">
        <v>1</v>
      </c>
      <c r="C29" s="1" t="s">
        <v>195</v>
      </c>
    </row>
    <row r="30" spans="1:3" x14ac:dyDescent="0.25">
      <c r="A30" s="4">
        <v>1</v>
      </c>
      <c r="B30" s="8" t="s">
        <v>1</v>
      </c>
      <c r="C30" s="1" t="s">
        <v>196</v>
      </c>
    </row>
    <row r="31" spans="1:3" x14ac:dyDescent="0.25">
      <c r="A31" s="4">
        <v>2</v>
      </c>
      <c r="B31" s="8" t="s">
        <v>1</v>
      </c>
      <c r="C31" s="1" t="s">
        <v>197</v>
      </c>
    </row>
    <row r="32" spans="1:3" x14ac:dyDescent="0.25">
      <c r="A32" s="4">
        <v>3</v>
      </c>
      <c r="B32" s="8" t="s">
        <v>1</v>
      </c>
      <c r="C32" s="1" t="s">
        <v>198</v>
      </c>
    </row>
    <row r="33" spans="1:3" x14ac:dyDescent="0.25">
      <c r="A33" s="4">
        <v>4</v>
      </c>
      <c r="B33" s="8" t="s">
        <v>1</v>
      </c>
      <c r="C33" s="1" t="s">
        <v>199</v>
      </c>
    </row>
    <row r="34" spans="1:3" x14ac:dyDescent="0.25">
      <c r="A34" s="4">
        <v>5</v>
      </c>
      <c r="B34" s="8" t="s">
        <v>1</v>
      </c>
      <c r="C34" s="1" t="s">
        <v>200</v>
      </c>
    </row>
    <row r="36" spans="1:3" s="7" customFormat="1" ht="15.75" x14ac:dyDescent="0.3">
      <c r="A36" s="5" t="s">
        <v>208</v>
      </c>
      <c r="B36" s="5"/>
      <c r="C36" s="5"/>
    </row>
    <row r="37" spans="1:3" x14ac:dyDescent="0.25">
      <c r="A37" s="4" t="s">
        <v>196</v>
      </c>
      <c r="B37" s="8" t="s">
        <v>1</v>
      </c>
      <c r="C37" s="1" t="s">
        <v>209</v>
      </c>
    </row>
    <row r="38" spans="1:3" x14ac:dyDescent="0.25">
      <c r="A38" s="4" t="s">
        <v>197</v>
      </c>
      <c r="B38" s="8" t="s">
        <v>1</v>
      </c>
      <c r="C38" s="1" t="s">
        <v>210</v>
      </c>
    </row>
    <row r="39" spans="1:3" x14ac:dyDescent="0.25">
      <c r="A39" s="4" t="s">
        <v>198</v>
      </c>
      <c r="B39" s="8" t="s">
        <v>1</v>
      </c>
      <c r="C39" s="1" t="s">
        <v>648</v>
      </c>
    </row>
    <row r="40" spans="1:3" x14ac:dyDescent="0.25">
      <c r="A40" s="4" t="s">
        <v>199</v>
      </c>
      <c r="B40" s="8" t="s">
        <v>1</v>
      </c>
      <c r="C40" s="1" t="s">
        <v>211</v>
      </c>
    </row>
    <row r="41" spans="1:3" x14ac:dyDescent="0.25">
      <c r="A41" s="4" t="s">
        <v>200</v>
      </c>
      <c r="B41" s="8" t="s">
        <v>1</v>
      </c>
      <c r="C41" s="1" t="s">
        <v>212</v>
      </c>
    </row>
    <row r="43" spans="1:3" s="7" customFormat="1" ht="15.75" x14ac:dyDescent="0.3">
      <c r="A43" s="5" t="s">
        <v>737</v>
      </c>
      <c r="B43" s="5"/>
      <c r="C43" s="5"/>
    </row>
    <row r="44" spans="1:3" x14ac:dyDescent="0.25">
      <c r="A44" s="4" t="s">
        <v>213</v>
      </c>
      <c r="B44" s="8" t="s">
        <v>1</v>
      </c>
      <c r="C44" s="2">
        <v>4</v>
      </c>
    </row>
    <row r="45" spans="1:3" x14ac:dyDescent="0.25">
      <c r="A45" s="4" t="s">
        <v>214</v>
      </c>
      <c r="B45" s="8" t="s">
        <v>1</v>
      </c>
      <c r="C45" s="2">
        <v>4</v>
      </c>
    </row>
    <row r="46" spans="1:3" x14ac:dyDescent="0.25">
      <c r="A46" s="4" t="s">
        <v>215</v>
      </c>
      <c r="B46" s="8" t="s">
        <v>1</v>
      </c>
      <c r="C46" s="2">
        <v>4</v>
      </c>
    </row>
    <row r="47" spans="1:3" x14ac:dyDescent="0.25">
      <c r="A47" s="4" t="s">
        <v>216</v>
      </c>
      <c r="B47" s="8" t="s">
        <v>1</v>
      </c>
      <c r="C47" s="2">
        <v>4</v>
      </c>
    </row>
    <row r="48" spans="1:3" x14ac:dyDescent="0.25">
      <c r="A48" s="4" t="s">
        <v>217</v>
      </c>
      <c r="B48" s="8" t="s">
        <v>1</v>
      </c>
      <c r="C48" s="2">
        <v>4</v>
      </c>
    </row>
    <row r="49" spans="1:3" x14ac:dyDescent="0.25">
      <c r="C49" s="2"/>
    </row>
    <row r="50" spans="1:3" s="7" customFormat="1" ht="15.75" x14ac:dyDescent="0.3">
      <c r="A50" s="5" t="s">
        <v>739</v>
      </c>
      <c r="B50" s="5"/>
      <c r="C50" s="5"/>
    </row>
    <row r="51" spans="1:3" x14ac:dyDescent="0.25">
      <c r="A51" s="4" t="s">
        <v>213</v>
      </c>
      <c r="B51" s="8" t="s">
        <v>1</v>
      </c>
      <c r="C51" s="2">
        <v>2</v>
      </c>
    </row>
    <row r="52" spans="1:3" x14ac:dyDescent="0.25">
      <c r="A52" s="4" t="s">
        <v>214</v>
      </c>
      <c r="B52" s="8" t="s">
        <v>1</v>
      </c>
      <c r="C52" s="2">
        <v>2</v>
      </c>
    </row>
    <row r="53" spans="1:3" x14ac:dyDescent="0.25">
      <c r="A53" s="4" t="s">
        <v>215</v>
      </c>
      <c r="B53" s="8" t="s">
        <v>1</v>
      </c>
      <c r="C53" s="2">
        <v>2</v>
      </c>
    </row>
    <row r="54" spans="1:3" x14ac:dyDescent="0.25">
      <c r="A54" s="4" t="s">
        <v>216</v>
      </c>
      <c r="B54" s="8" t="s">
        <v>1</v>
      </c>
      <c r="C54" s="2">
        <v>2</v>
      </c>
    </row>
    <row r="55" spans="1:3" x14ac:dyDescent="0.25">
      <c r="A55" s="4" t="s">
        <v>217</v>
      </c>
      <c r="B55" s="8" t="s">
        <v>1</v>
      </c>
      <c r="C55" s="2">
        <v>2</v>
      </c>
    </row>
    <row r="56" spans="1:3" x14ac:dyDescent="0.25">
      <c r="C56" s="2"/>
    </row>
    <row r="57" spans="1:3" s="7" customFormat="1" ht="15.75" x14ac:dyDescent="0.3">
      <c r="A57" s="5" t="s">
        <v>218</v>
      </c>
      <c r="B57" s="5"/>
      <c r="C57" s="5"/>
    </row>
    <row r="58" spans="1:3" x14ac:dyDescent="0.25">
      <c r="A58" s="4" t="s">
        <v>219</v>
      </c>
      <c r="B58" s="8" t="s">
        <v>1</v>
      </c>
      <c r="C58" s="1" t="s">
        <v>220</v>
      </c>
    </row>
    <row r="59" spans="1:3" x14ac:dyDescent="0.25">
      <c r="A59" s="4" t="s">
        <v>221</v>
      </c>
      <c r="B59" s="8" t="s">
        <v>1</v>
      </c>
      <c r="C59" s="1" t="s">
        <v>222</v>
      </c>
    </row>
    <row r="60" spans="1:3" x14ac:dyDescent="0.25">
      <c r="A60" s="4" t="s">
        <v>223</v>
      </c>
      <c r="B60" s="8" t="s">
        <v>1</v>
      </c>
      <c r="C60" s="1" t="s">
        <v>224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EEDC1-EC6C-4E06-AF1A-81C9CC2BE099}">
  <sheetPr codeName="Sheet4"/>
  <dimension ref="A1:D104"/>
  <sheetViews>
    <sheetView topLeftCell="A28" workbookViewId="0">
      <selection activeCell="C50" sqref="C50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157</v>
      </c>
      <c r="B1" s="5"/>
      <c r="C1" s="5"/>
      <c r="D1" s="12"/>
    </row>
    <row r="2" spans="1:4" x14ac:dyDescent="0.25">
      <c r="A2" s="1" t="s">
        <v>156</v>
      </c>
      <c r="B2" s="1" t="s">
        <v>1</v>
      </c>
      <c r="C2" s="2" t="s">
        <v>155</v>
      </c>
    </row>
    <row r="3" spans="1:4" x14ac:dyDescent="0.25">
      <c r="A3" s="1" t="s">
        <v>154</v>
      </c>
      <c r="B3" s="1" t="s">
        <v>1</v>
      </c>
      <c r="C3" s="2">
        <v>0</v>
      </c>
    </row>
    <row r="4" spans="1:4" x14ac:dyDescent="0.25">
      <c r="A4" s="1" t="s">
        <v>153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152</v>
      </c>
      <c r="B5" s="1" t="s">
        <v>1</v>
      </c>
      <c r="C5" s="2" t="s">
        <v>780</v>
      </c>
    </row>
    <row r="6" spans="1:4" x14ac:dyDescent="0.25">
      <c r="A6" s="1" t="s">
        <v>151</v>
      </c>
      <c r="B6" s="1" t="s">
        <v>1</v>
      </c>
      <c r="C6" s="2" t="s">
        <v>783</v>
      </c>
    </row>
    <row r="7" spans="1:4" x14ac:dyDescent="0.25">
      <c r="A7" s="1" t="s">
        <v>150</v>
      </c>
      <c r="B7" s="1" t="s">
        <v>1</v>
      </c>
      <c r="C7" s="2" t="s">
        <v>781</v>
      </c>
    </row>
    <row r="8" spans="1:4" x14ac:dyDescent="0.25">
      <c r="A8" s="1" t="s">
        <v>149</v>
      </c>
      <c r="B8" s="1" t="s">
        <v>1</v>
      </c>
      <c r="C8" s="2" t="s">
        <v>782</v>
      </c>
    </row>
    <row r="9" spans="1:4" x14ac:dyDescent="0.25">
      <c r="A9" s="1" t="s">
        <v>148</v>
      </c>
      <c r="B9" s="1" t="s">
        <v>1</v>
      </c>
      <c r="C9" s="2" t="s">
        <v>793</v>
      </c>
    </row>
    <row r="10" spans="1:4" x14ac:dyDescent="0.25">
      <c r="A10" s="1" t="s">
        <v>147</v>
      </c>
      <c r="B10" s="1" t="s">
        <v>1</v>
      </c>
      <c r="C10" s="2" t="s">
        <v>789</v>
      </c>
    </row>
    <row r="11" spans="1:4" x14ac:dyDescent="0.25">
      <c r="A11" s="1" t="s">
        <v>146</v>
      </c>
      <c r="B11" s="1" t="s">
        <v>1</v>
      </c>
      <c r="C11" s="2" t="s">
        <v>784</v>
      </c>
    </row>
    <row r="12" spans="1:4" x14ac:dyDescent="0.25">
      <c r="A12" s="1" t="s">
        <v>145</v>
      </c>
      <c r="B12" s="1" t="s">
        <v>1</v>
      </c>
      <c r="C12" s="2" t="s">
        <v>785</v>
      </c>
    </row>
    <row r="13" spans="1:4" x14ac:dyDescent="0.25">
      <c r="A13" s="1" t="s">
        <v>144</v>
      </c>
      <c r="B13" s="1" t="s">
        <v>1</v>
      </c>
      <c r="C13" s="2" t="s">
        <v>794</v>
      </c>
    </row>
    <row r="14" spans="1:4" x14ac:dyDescent="0.25">
      <c r="A14" s="1" t="s">
        <v>143</v>
      </c>
      <c r="B14" s="1" t="s">
        <v>1</v>
      </c>
      <c r="C14" s="2" t="s">
        <v>788</v>
      </c>
    </row>
    <row r="15" spans="1:4" x14ac:dyDescent="0.25">
      <c r="A15" s="1" t="s">
        <v>142</v>
      </c>
      <c r="B15" s="1" t="s">
        <v>1</v>
      </c>
      <c r="C15" s="2" t="s">
        <v>786</v>
      </c>
    </row>
    <row r="16" spans="1:4" x14ac:dyDescent="0.25">
      <c r="A16" s="1" t="s">
        <v>141</v>
      </c>
      <c r="B16" s="1" t="s">
        <v>1</v>
      </c>
      <c r="C16" s="2" t="s">
        <v>787</v>
      </c>
    </row>
    <row r="17" spans="1:3" x14ac:dyDescent="0.25">
      <c r="A17" s="1" t="s">
        <v>140</v>
      </c>
      <c r="B17" s="1" t="s">
        <v>1</v>
      </c>
      <c r="C17" s="2" t="s">
        <v>792</v>
      </c>
    </row>
    <row r="18" spans="1:3" x14ac:dyDescent="0.25">
      <c r="A18" s="1" t="s">
        <v>139</v>
      </c>
      <c r="B18" s="1" t="s">
        <v>1</v>
      </c>
      <c r="C18" s="2" t="s">
        <v>795</v>
      </c>
    </row>
    <row r="19" spans="1:3" x14ac:dyDescent="0.25">
      <c r="A19" s="1" t="s">
        <v>138</v>
      </c>
      <c r="B19" s="1" t="s">
        <v>1</v>
      </c>
      <c r="C19" s="2" t="s">
        <v>790</v>
      </c>
    </row>
    <row r="20" spans="1:3" x14ac:dyDescent="0.25">
      <c r="A20" s="1" t="s">
        <v>137</v>
      </c>
      <c r="B20" s="1" t="s">
        <v>1</v>
      </c>
      <c r="C20" s="2" t="s">
        <v>791</v>
      </c>
    </row>
    <row r="21" spans="1:3" x14ac:dyDescent="0.25">
      <c r="A21" s="1" t="s">
        <v>136</v>
      </c>
      <c r="B21" s="1" t="s">
        <v>1</v>
      </c>
      <c r="C21" s="2" t="s">
        <v>796</v>
      </c>
    </row>
    <row r="22" spans="1:3" x14ac:dyDescent="0.25">
      <c r="A22" s="1" t="s">
        <v>135</v>
      </c>
      <c r="B22" s="1" t="s">
        <v>1</v>
      </c>
      <c r="C22" s="2" t="s">
        <v>797</v>
      </c>
    </row>
    <row r="23" spans="1:3" x14ac:dyDescent="0.25">
      <c r="A23" s="1" t="s">
        <v>134</v>
      </c>
      <c r="B23" s="1" t="s">
        <v>1</v>
      </c>
      <c r="C23" s="2" t="s">
        <v>798</v>
      </c>
    </row>
    <row r="24" spans="1:3" x14ac:dyDescent="0.25">
      <c r="A24" s="1" t="s">
        <v>133</v>
      </c>
      <c r="B24" s="1" t="s">
        <v>1</v>
      </c>
      <c r="C24" s="2" t="s">
        <v>799</v>
      </c>
    </row>
    <row r="25" spans="1:3" x14ac:dyDescent="0.25">
      <c r="A25" s="1" t="s">
        <v>132</v>
      </c>
      <c r="B25" s="1" t="s">
        <v>1</v>
      </c>
      <c r="C25" s="2" t="s">
        <v>800</v>
      </c>
    </row>
    <row r="26" spans="1:3" x14ac:dyDescent="0.25">
      <c r="A26" s="1" t="s">
        <v>131</v>
      </c>
      <c r="B26" s="1" t="s">
        <v>1</v>
      </c>
      <c r="C26" s="2" t="s">
        <v>801</v>
      </c>
    </row>
    <row r="27" spans="1:3" x14ac:dyDescent="0.25">
      <c r="A27" s="1" t="s">
        <v>130</v>
      </c>
      <c r="B27" s="1" t="s">
        <v>1</v>
      </c>
      <c r="C27" s="2" t="s">
        <v>802</v>
      </c>
    </row>
    <row r="28" spans="1:3" x14ac:dyDescent="0.25">
      <c r="A28" s="1" t="s">
        <v>129</v>
      </c>
      <c r="B28" s="1" t="s">
        <v>1</v>
      </c>
      <c r="C28" s="2" t="s">
        <v>803</v>
      </c>
    </row>
    <row r="29" spans="1:3" x14ac:dyDescent="0.25">
      <c r="A29" s="1" t="s">
        <v>128</v>
      </c>
      <c r="B29" s="1" t="s">
        <v>1</v>
      </c>
      <c r="C29" s="2" t="s">
        <v>804</v>
      </c>
    </row>
    <row r="30" spans="1:3" x14ac:dyDescent="0.25">
      <c r="A30" s="1" t="s">
        <v>127</v>
      </c>
      <c r="B30" s="1" t="s">
        <v>1</v>
      </c>
      <c r="C30" s="2" t="s">
        <v>805</v>
      </c>
    </row>
    <row r="31" spans="1:3" x14ac:dyDescent="0.25">
      <c r="A31" s="1" t="s">
        <v>126</v>
      </c>
      <c r="B31" s="1" t="s">
        <v>1</v>
      </c>
      <c r="C31" s="2" t="s">
        <v>806</v>
      </c>
    </row>
    <row r="32" spans="1:3" x14ac:dyDescent="0.25">
      <c r="A32" s="1" t="s">
        <v>125</v>
      </c>
      <c r="B32" s="1" t="s">
        <v>1</v>
      </c>
      <c r="C32" s="2" t="s">
        <v>807</v>
      </c>
    </row>
    <row r="33" spans="1:3" x14ac:dyDescent="0.25">
      <c r="A33" s="1" t="s">
        <v>124</v>
      </c>
      <c r="B33" s="1" t="s">
        <v>1</v>
      </c>
      <c r="C33" s="2" t="s">
        <v>808</v>
      </c>
    </row>
    <row r="34" spans="1:3" x14ac:dyDescent="0.25">
      <c r="A34" s="1" t="s">
        <v>123</v>
      </c>
      <c r="B34" s="1" t="s">
        <v>1</v>
      </c>
      <c r="C34" s="2" t="s">
        <v>808</v>
      </c>
    </row>
    <row r="35" spans="1:3" x14ac:dyDescent="0.25">
      <c r="A35" s="1" t="s">
        <v>665</v>
      </c>
      <c r="B35" s="1" t="s">
        <v>1</v>
      </c>
      <c r="C35" s="2" t="s">
        <v>826</v>
      </c>
    </row>
    <row r="36" spans="1:3" x14ac:dyDescent="0.25">
      <c r="A36" s="1" t="s">
        <v>666</v>
      </c>
      <c r="B36" s="1" t="s">
        <v>1</v>
      </c>
      <c r="C36" s="2" t="s">
        <v>825</v>
      </c>
    </row>
    <row r="37" spans="1:3" x14ac:dyDescent="0.25">
      <c r="A37" s="1" t="s">
        <v>667</v>
      </c>
      <c r="B37" s="1" t="s">
        <v>1</v>
      </c>
      <c r="C37" s="2" t="s">
        <v>827</v>
      </c>
    </row>
    <row r="38" spans="1:3" x14ac:dyDescent="0.25">
      <c r="A38" s="1" t="s">
        <v>668</v>
      </c>
      <c r="B38" s="1" t="s">
        <v>1</v>
      </c>
      <c r="C38" s="2" t="s">
        <v>828</v>
      </c>
    </row>
    <row r="39" spans="1:3" x14ac:dyDescent="0.25">
      <c r="A39" s="1" t="s">
        <v>669</v>
      </c>
      <c r="B39" s="1" t="s">
        <v>1</v>
      </c>
      <c r="C39" s="2" t="s">
        <v>829</v>
      </c>
    </row>
    <row r="40" spans="1:3" x14ac:dyDescent="0.25">
      <c r="A40" s="1" t="s">
        <v>810</v>
      </c>
      <c r="B40" s="1" t="s">
        <v>1</v>
      </c>
      <c r="C40" s="2" t="s">
        <v>830</v>
      </c>
    </row>
    <row r="41" spans="1:3" x14ac:dyDescent="0.25">
      <c r="A41" s="1" t="s">
        <v>811</v>
      </c>
      <c r="B41" s="1" t="s">
        <v>1</v>
      </c>
      <c r="C41" s="2" t="s">
        <v>831</v>
      </c>
    </row>
    <row r="42" spans="1:3" x14ac:dyDescent="0.25">
      <c r="A42" s="1" t="s">
        <v>812</v>
      </c>
      <c r="B42" s="1" t="s">
        <v>1</v>
      </c>
      <c r="C42" s="2" t="s">
        <v>832</v>
      </c>
    </row>
    <row r="43" spans="1:3" x14ac:dyDescent="0.25">
      <c r="A43" s="1" t="s">
        <v>813</v>
      </c>
      <c r="B43" s="1" t="s">
        <v>1</v>
      </c>
      <c r="C43" s="2" t="s">
        <v>834</v>
      </c>
    </row>
    <row r="44" spans="1:3" x14ac:dyDescent="0.25">
      <c r="A44" s="1" t="s">
        <v>814</v>
      </c>
      <c r="B44" s="1" t="s">
        <v>1</v>
      </c>
      <c r="C44" s="2" t="s">
        <v>833</v>
      </c>
    </row>
    <row r="45" spans="1:3" x14ac:dyDescent="0.25">
      <c r="A45" s="1" t="s">
        <v>815</v>
      </c>
      <c r="B45" s="1" t="s">
        <v>1</v>
      </c>
      <c r="C45" s="2" t="s">
        <v>835</v>
      </c>
    </row>
    <row r="46" spans="1:3" x14ac:dyDescent="0.25">
      <c r="A46" s="1" t="s">
        <v>816</v>
      </c>
      <c r="B46" s="1" t="s">
        <v>1</v>
      </c>
      <c r="C46" s="1" t="s">
        <v>836</v>
      </c>
    </row>
    <row r="47" spans="1:3" x14ac:dyDescent="0.25">
      <c r="A47" s="1" t="s">
        <v>817</v>
      </c>
      <c r="B47" s="1" t="s">
        <v>1</v>
      </c>
      <c r="C47" s="2" t="s">
        <v>837</v>
      </c>
    </row>
    <row r="48" spans="1:3" x14ac:dyDescent="0.25">
      <c r="A48" s="1" t="s">
        <v>818</v>
      </c>
      <c r="B48" s="1" t="s">
        <v>1</v>
      </c>
      <c r="C48" s="2" t="s">
        <v>948</v>
      </c>
    </row>
    <row r="49" spans="1:4" x14ac:dyDescent="0.25">
      <c r="A49" s="1" t="s">
        <v>819</v>
      </c>
      <c r="B49" s="1" t="s">
        <v>1</v>
      </c>
      <c r="C49" s="2" t="s">
        <v>946</v>
      </c>
    </row>
    <row r="50" spans="1:4" x14ac:dyDescent="0.25">
      <c r="A50" s="1" t="s">
        <v>820</v>
      </c>
      <c r="B50" s="1" t="s">
        <v>1</v>
      </c>
      <c r="C50" s="2" t="s">
        <v>947</v>
      </c>
    </row>
    <row r="51" spans="1:4" x14ac:dyDescent="0.25">
      <c r="A51" s="1" t="s">
        <v>821</v>
      </c>
      <c r="B51" s="1" t="s">
        <v>1</v>
      </c>
      <c r="C51" s="2" t="s">
        <v>838</v>
      </c>
    </row>
    <row r="52" spans="1:4" x14ac:dyDescent="0.25">
      <c r="A52" s="1" t="s">
        <v>822</v>
      </c>
      <c r="B52" s="1" t="s">
        <v>1</v>
      </c>
      <c r="C52" s="2" t="s">
        <v>839</v>
      </c>
    </row>
    <row r="53" spans="1:4" x14ac:dyDescent="0.25">
      <c r="A53" s="1" t="s">
        <v>823</v>
      </c>
      <c r="B53" s="1" t="s">
        <v>1</v>
      </c>
      <c r="C53" s="2" t="s">
        <v>840</v>
      </c>
    </row>
    <row r="54" spans="1:4" x14ac:dyDescent="0.25">
      <c r="A54" s="1" t="s">
        <v>824</v>
      </c>
      <c r="B54" s="1" t="s">
        <v>1</v>
      </c>
      <c r="C54" s="2" t="s">
        <v>841</v>
      </c>
    </row>
    <row r="55" spans="1:4" x14ac:dyDescent="0.25">
      <c r="A55" s="1" t="s">
        <v>122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121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120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119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118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117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116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115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114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113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112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111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110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109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108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107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106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105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104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103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102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101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100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99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98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97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96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95</v>
      </c>
      <c r="B82" s="1" t="s">
        <v>1</v>
      </c>
      <c r="C82" s="2" t="str">
        <f>".equ PostShiftA,                " &amp; D82</f>
        <v>.equ PostShiftA,                54</v>
      </c>
      <c r="D82" s="13">
        <v>54</v>
      </c>
    </row>
    <row r="83" spans="1:4" x14ac:dyDescent="0.25">
      <c r="A83" s="1" t="s">
        <v>94</v>
      </c>
      <c r="B83" s="1" t="s">
        <v>1</v>
      </c>
      <c r="C83" s="2" t="str">
        <f>".equ reserved_1,                " &amp; D83</f>
        <v>.equ reserved_1,                56</v>
      </c>
      <c r="D83" s="13">
        <v>56</v>
      </c>
    </row>
    <row r="84" spans="1:4" x14ac:dyDescent="0.25">
      <c r="A84" s="1" t="s">
        <v>93</v>
      </c>
      <c r="B84" s="1" t="s">
        <v>1</v>
      </c>
      <c r="C84" s="2" t="str">
        <f>".equ reserved_2,                " &amp; D84</f>
        <v>.equ reserved_2,                58</v>
      </c>
      <c r="D84" s="13">
        <v>58</v>
      </c>
    </row>
    <row r="85" spans="1:4" x14ac:dyDescent="0.25">
      <c r="A85" s="1" t="s">
        <v>660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661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662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663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664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766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767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768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769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770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771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772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773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774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775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776</v>
      </c>
      <c r="B100" s="1" t="s">
        <v>1</v>
      </c>
      <c r="C100" s="10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777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778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779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842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60193-3481-47E0-AFC1-A6B24EECC570}">
  <sheetPr codeName="Sheet2"/>
  <dimension ref="A1:C87"/>
  <sheetViews>
    <sheetView topLeftCell="A61" zoomScale="115" zoomScaleNormal="115" workbookViewId="0">
      <selection activeCell="A6" sqref="A6"/>
    </sheetView>
  </sheetViews>
  <sheetFormatPr defaultRowHeight="15" x14ac:dyDescent="0.25"/>
  <cols>
    <col min="1" max="1" width="15.85546875" style="1" customWidth="1"/>
    <col min="2" max="2" width="2.5703125" style="1" bestFit="1" customWidth="1"/>
    <col min="3" max="3" width="52.85546875" style="1" bestFit="1" customWidth="1"/>
  </cols>
  <sheetData>
    <row r="1" spans="1:3" s="7" customFormat="1" ht="15.75" x14ac:dyDescent="0.3">
      <c r="A1" s="5" t="s">
        <v>83</v>
      </c>
      <c r="B1" s="5"/>
      <c r="C1" s="5"/>
    </row>
    <row r="2" spans="1:3" x14ac:dyDescent="0.25">
      <c r="A2" s="1" t="s">
        <v>82</v>
      </c>
    </row>
    <row r="3" spans="1:3" x14ac:dyDescent="0.25">
      <c r="A3" s="1" t="s">
        <v>81</v>
      </c>
    </row>
    <row r="4" spans="1:3" x14ac:dyDescent="0.25">
      <c r="A4" s="1" t="s">
        <v>80</v>
      </c>
      <c r="B4" s="1" t="s">
        <v>1</v>
      </c>
      <c r="C4" s="1" t="s">
        <v>79</v>
      </c>
    </row>
    <row r="5" spans="1:3" x14ac:dyDescent="0.25">
      <c r="A5" s="1" t="s">
        <v>78</v>
      </c>
      <c r="B5" s="1" t="s">
        <v>1</v>
      </c>
      <c r="C5" s="1" t="s">
        <v>77</v>
      </c>
    </row>
    <row r="6" spans="1:3" x14ac:dyDescent="0.25">
      <c r="A6" s="1" t="s">
        <v>76</v>
      </c>
      <c r="B6" s="1" t="s">
        <v>1</v>
      </c>
      <c r="C6" s="9">
        <f>COUNTA(A:A)-6</f>
        <v>81</v>
      </c>
    </row>
    <row r="7" spans="1:3" x14ac:dyDescent="0.25">
      <c r="A7" s="1">
        <v>0</v>
      </c>
      <c r="B7" s="1" t="s">
        <v>1</v>
      </c>
      <c r="C7" s="1" t="s">
        <v>75</v>
      </c>
    </row>
    <row r="8" spans="1:3" x14ac:dyDescent="0.25">
      <c r="A8" s="1">
        <v>1</v>
      </c>
      <c r="B8" s="1" t="s">
        <v>1</v>
      </c>
      <c r="C8" s="1" t="s">
        <v>74</v>
      </c>
    </row>
    <row r="9" spans="1:3" x14ac:dyDescent="0.25">
      <c r="A9" s="1">
        <v>2</v>
      </c>
      <c r="B9" s="1" t="s">
        <v>1</v>
      </c>
      <c r="C9" s="1" t="s">
        <v>73</v>
      </c>
    </row>
    <row r="10" spans="1:3" x14ac:dyDescent="0.25">
      <c r="A10" s="1">
        <v>3</v>
      </c>
      <c r="B10" s="1" t="s">
        <v>1</v>
      </c>
      <c r="C10" s="1" t="s">
        <v>72</v>
      </c>
    </row>
    <row r="11" spans="1:3" x14ac:dyDescent="0.25">
      <c r="A11" s="1">
        <v>4</v>
      </c>
      <c r="B11" s="1" t="s">
        <v>1</v>
      </c>
      <c r="C11" s="1" t="s">
        <v>71</v>
      </c>
    </row>
    <row r="12" spans="1:3" x14ac:dyDescent="0.25">
      <c r="A12" s="1">
        <v>5</v>
      </c>
      <c r="B12" s="1" t="s">
        <v>1</v>
      </c>
      <c r="C12" s="1" t="s">
        <v>70</v>
      </c>
    </row>
    <row r="13" spans="1:3" x14ac:dyDescent="0.25">
      <c r="A13" s="1">
        <v>6</v>
      </c>
      <c r="B13" s="1" t="s">
        <v>1</v>
      </c>
      <c r="C13" s="1" t="s">
        <v>69</v>
      </c>
    </row>
    <row r="14" spans="1:3" x14ac:dyDescent="0.25">
      <c r="A14" s="1">
        <v>7</v>
      </c>
      <c r="B14" s="1" t="s">
        <v>1</v>
      </c>
      <c r="C14" s="1" t="s">
        <v>65</v>
      </c>
    </row>
    <row r="15" spans="1:3" x14ac:dyDescent="0.25">
      <c r="A15" s="1">
        <v>8</v>
      </c>
      <c r="B15" s="1" t="s">
        <v>1</v>
      </c>
      <c r="C15" s="1" t="s">
        <v>68</v>
      </c>
    </row>
    <row r="16" spans="1:3" x14ac:dyDescent="0.25">
      <c r="A16" s="1">
        <v>9</v>
      </c>
      <c r="B16" s="1" t="s">
        <v>1</v>
      </c>
      <c r="C16" s="1" t="s">
        <v>67</v>
      </c>
    </row>
    <row r="17" spans="1:3" x14ac:dyDescent="0.25">
      <c r="A17" s="1">
        <v>10</v>
      </c>
      <c r="B17" s="1" t="s">
        <v>1</v>
      </c>
      <c r="C17" s="1" t="s">
        <v>66</v>
      </c>
    </row>
    <row r="18" spans="1:3" x14ac:dyDescent="0.25">
      <c r="A18" s="1">
        <v>11</v>
      </c>
      <c r="B18" s="1" t="s">
        <v>1</v>
      </c>
      <c r="C18" s="1" t="s">
        <v>65</v>
      </c>
    </row>
    <row r="19" spans="1:3" x14ac:dyDescent="0.25">
      <c r="A19" s="1">
        <v>12</v>
      </c>
      <c r="B19" s="1" t="s">
        <v>1</v>
      </c>
      <c r="C19" s="1" t="s">
        <v>64</v>
      </c>
    </row>
    <row r="20" spans="1:3" x14ac:dyDescent="0.25">
      <c r="A20" s="1">
        <v>13</v>
      </c>
      <c r="B20" s="1" t="s">
        <v>1</v>
      </c>
      <c r="C20" s="1" t="s">
        <v>63</v>
      </c>
    </row>
    <row r="21" spans="1:3" x14ac:dyDescent="0.25">
      <c r="A21" s="1">
        <v>14</v>
      </c>
      <c r="B21" s="1" t="s">
        <v>1</v>
      </c>
      <c r="C21" s="1" t="s">
        <v>62</v>
      </c>
    </row>
    <row r="22" spans="1:3" x14ac:dyDescent="0.25">
      <c r="A22" s="1">
        <v>15</v>
      </c>
      <c r="B22" s="1" t="s">
        <v>1</v>
      </c>
      <c r="C22" s="1" t="s">
        <v>61</v>
      </c>
    </row>
    <row r="23" spans="1:3" x14ac:dyDescent="0.25">
      <c r="A23" s="1">
        <v>16</v>
      </c>
      <c r="B23" s="1" t="s">
        <v>1</v>
      </c>
      <c r="C23" s="1" t="s">
        <v>60</v>
      </c>
    </row>
    <row r="24" spans="1:3" x14ac:dyDescent="0.25">
      <c r="A24" s="1">
        <v>17</v>
      </c>
      <c r="B24" s="1" t="s">
        <v>1</v>
      </c>
      <c r="C24" s="1" t="s">
        <v>59</v>
      </c>
    </row>
    <row r="25" spans="1:3" x14ac:dyDescent="0.25">
      <c r="A25" s="1">
        <v>18</v>
      </c>
      <c r="B25" s="1" t="s">
        <v>1</v>
      </c>
      <c r="C25" s="1" t="s">
        <v>58</v>
      </c>
    </row>
    <row r="26" spans="1:3" x14ac:dyDescent="0.25">
      <c r="A26" s="1">
        <v>19</v>
      </c>
      <c r="B26" s="1" t="s">
        <v>1</v>
      </c>
      <c r="C26" s="1" t="s">
        <v>32</v>
      </c>
    </row>
    <row r="27" spans="1:3" x14ac:dyDescent="0.25">
      <c r="A27" s="1">
        <v>20</v>
      </c>
      <c r="B27" s="1" t="s">
        <v>1</v>
      </c>
      <c r="C27" s="1" t="s">
        <v>57</v>
      </c>
    </row>
    <row r="28" spans="1:3" x14ac:dyDescent="0.25">
      <c r="A28" s="1">
        <v>21</v>
      </c>
      <c r="B28" s="1" t="s">
        <v>1</v>
      </c>
      <c r="C28" s="1" t="s">
        <v>56</v>
      </c>
    </row>
    <row r="29" spans="1:3" x14ac:dyDescent="0.25">
      <c r="A29" s="1">
        <v>22</v>
      </c>
      <c r="B29" s="1" t="s">
        <v>1</v>
      </c>
      <c r="C29" s="1" t="s">
        <v>42</v>
      </c>
    </row>
    <row r="30" spans="1:3" x14ac:dyDescent="0.25">
      <c r="A30" s="1">
        <v>23</v>
      </c>
      <c r="B30" s="1" t="s">
        <v>1</v>
      </c>
      <c r="C30" s="1" t="s">
        <v>55</v>
      </c>
    </row>
    <row r="31" spans="1:3" x14ac:dyDescent="0.25">
      <c r="A31" s="1">
        <v>24</v>
      </c>
      <c r="B31" s="1" t="s">
        <v>1</v>
      </c>
      <c r="C31" s="1" t="s">
        <v>54</v>
      </c>
    </row>
    <row r="32" spans="1:3" x14ac:dyDescent="0.25">
      <c r="A32" s="1">
        <v>25</v>
      </c>
      <c r="B32" s="1" t="s">
        <v>1</v>
      </c>
      <c r="C32" s="1" t="s">
        <v>53</v>
      </c>
    </row>
    <row r="33" spans="1:3" x14ac:dyDescent="0.25">
      <c r="A33" s="1">
        <v>26</v>
      </c>
      <c r="B33" s="1" t="s">
        <v>1</v>
      </c>
      <c r="C33" s="1" t="s">
        <v>52</v>
      </c>
    </row>
    <row r="34" spans="1:3" x14ac:dyDescent="0.25">
      <c r="A34" s="1">
        <v>27</v>
      </c>
      <c r="B34" s="1" t="s">
        <v>1</v>
      </c>
      <c r="C34" s="1" t="s">
        <v>51</v>
      </c>
    </row>
    <row r="35" spans="1:3" x14ac:dyDescent="0.25">
      <c r="A35" s="1">
        <v>28</v>
      </c>
      <c r="B35" s="1" t="s">
        <v>1</v>
      </c>
      <c r="C35" s="1" t="s">
        <v>50</v>
      </c>
    </row>
    <row r="36" spans="1:3" x14ac:dyDescent="0.25">
      <c r="A36" s="1">
        <v>29</v>
      </c>
      <c r="B36" s="1" t="s">
        <v>1</v>
      </c>
      <c r="C36" s="1" t="s">
        <v>49</v>
      </c>
    </row>
    <row r="37" spans="1:3" x14ac:dyDescent="0.25">
      <c r="A37" s="1">
        <v>30</v>
      </c>
      <c r="B37" s="1" t="s">
        <v>1</v>
      </c>
      <c r="C37" s="1" t="s">
        <v>48</v>
      </c>
    </row>
    <row r="38" spans="1:3" x14ac:dyDescent="0.25">
      <c r="A38" s="1">
        <v>31</v>
      </c>
      <c r="B38" s="1" t="s">
        <v>1</v>
      </c>
      <c r="C38" s="1" t="s">
        <v>47</v>
      </c>
    </row>
    <row r="39" spans="1:3" x14ac:dyDescent="0.25">
      <c r="A39" s="1">
        <v>32</v>
      </c>
      <c r="B39" s="1" t="s">
        <v>1</v>
      </c>
      <c r="C39" s="1" t="s">
        <v>46</v>
      </c>
    </row>
    <row r="40" spans="1:3" x14ac:dyDescent="0.25">
      <c r="A40" s="1">
        <v>33</v>
      </c>
      <c r="B40" s="1" t="s">
        <v>1</v>
      </c>
      <c r="C40" s="1" t="s">
        <v>45</v>
      </c>
    </row>
    <row r="41" spans="1:3" x14ac:dyDescent="0.25">
      <c r="A41" s="1">
        <v>34</v>
      </c>
      <c r="B41" s="1" t="s">
        <v>1</v>
      </c>
      <c r="C41" s="1" t="s">
        <v>44</v>
      </c>
    </row>
    <row r="42" spans="1:3" x14ac:dyDescent="0.25">
      <c r="A42" s="1">
        <v>35</v>
      </c>
      <c r="B42" s="1" t="s">
        <v>1</v>
      </c>
      <c r="C42" s="1" t="s">
        <v>43</v>
      </c>
    </row>
    <row r="43" spans="1:3" x14ac:dyDescent="0.25">
      <c r="A43" s="1">
        <v>36</v>
      </c>
      <c r="B43" s="1" t="s">
        <v>1</v>
      </c>
      <c r="C43" s="1" t="s">
        <v>42</v>
      </c>
    </row>
    <row r="44" spans="1:3" x14ac:dyDescent="0.25">
      <c r="A44" s="1">
        <v>37</v>
      </c>
      <c r="B44" s="1" t="s">
        <v>1</v>
      </c>
      <c r="C44" s="1" t="s">
        <v>41</v>
      </c>
    </row>
    <row r="45" spans="1:3" x14ac:dyDescent="0.25">
      <c r="A45" s="1">
        <v>38</v>
      </c>
      <c r="B45" s="1" t="s">
        <v>1</v>
      </c>
      <c r="C45" s="1" t="s">
        <v>40</v>
      </c>
    </row>
    <row r="46" spans="1:3" x14ac:dyDescent="0.25">
      <c r="A46" s="1">
        <v>39</v>
      </c>
      <c r="B46" s="1" t="s">
        <v>1</v>
      </c>
      <c r="C46" s="1" t="s">
        <v>39</v>
      </c>
    </row>
    <row r="47" spans="1:3" x14ac:dyDescent="0.25">
      <c r="A47" s="1">
        <v>40</v>
      </c>
      <c r="B47" s="1" t="s">
        <v>1</v>
      </c>
      <c r="C47" s="1" t="s">
        <v>38</v>
      </c>
    </row>
    <row r="48" spans="1:3" x14ac:dyDescent="0.25">
      <c r="A48" s="1">
        <v>41</v>
      </c>
      <c r="B48" s="1" t="s">
        <v>1</v>
      </c>
      <c r="C48" s="1" t="s">
        <v>37</v>
      </c>
    </row>
    <row r="49" spans="1:3" x14ac:dyDescent="0.25">
      <c r="A49" s="1">
        <v>42</v>
      </c>
      <c r="B49" s="1" t="s">
        <v>1</v>
      </c>
      <c r="C49" s="1" t="s">
        <v>36</v>
      </c>
    </row>
    <row r="50" spans="1:3" x14ac:dyDescent="0.25">
      <c r="A50" s="1">
        <v>43</v>
      </c>
      <c r="B50" s="1" t="s">
        <v>1</v>
      </c>
      <c r="C50" s="1" t="s">
        <v>35</v>
      </c>
    </row>
    <row r="51" spans="1:3" x14ac:dyDescent="0.25">
      <c r="A51" s="1">
        <v>44</v>
      </c>
      <c r="B51" s="1" t="s">
        <v>1</v>
      </c>
      <c r="C51" s="1" t="s">
        <v>34</v>
      </c>
    </row>
    <row r="52" spans="1:3" x14ac:dyDescent="0.25">
      <c r="A52" s="1">
        <v>45</v>
      </c>
      <c r="B52" s="1" t="s">
        <v>1</v>
      </c>
      <c r="C52" s="1" t="s">
        <v>33</v>
      </c>
    </row>
    <row r="53" spans="1:3" x14ac:dyDescent="0.25">
      <c r="A53" s="1">
        <v>46</v>
      </c>
      <c r="B53" s="1" t="s">
        <v>1</v>
      </c>
      <c r="C53" s="1" t="s">
        <v>32</v>
      </c>
    </row>
    <row r="54" spans="1:3" x14ac:dyDescent="0.25">
      <c r="A54" s="1">
        <v>47</v>
      </c>
      <c r="B54" s="1" t="s">
        <v>1</v>
      </c>
      <c r="C54" s="1" t="s">
        <v>31</v>
      </c>
    </row>
    <row r="55" spans="1:3" x14ac:dyDescent="0.25">
      <c r="A55" s="1">
        <v>48</v>
      </c>
      <c r="B55" s="1" t="s">
        <v>1</v>
      </c>
      <c r="C55" s="1" t="s">
        <v>30</v>
      </c>
    </row>
    <row r="56" spans="1:3" x14ac:dyDescent="0.25">
      <c r="A56" s="1">
        <v>49</v>
      </c>
      <c r="B56" s="1" t="s">
        <v>1</v>
      </c>
      <c r="C56" s="1" t="s">
        <v>28</v>
      </c>
    </row>
    <row r="57" spans="1:3" x14ac:dyDescent="0.25">
      <c r="A57" s="1">
        <v>50</v>
      </c>
      <c r="B57" s="1" t="s">
        <v>1</v>
      </c>
      <c r="C57" s="1" t="s">
        <v>19</v>
      </c>
    </row>
    <row r="58" spans="1:3" x14ac:dyDescent="0.25">
      <c r="A58" s="1">
        <v>51</v>
      </c>
      <c r="B58" s="1" t="s">
        <v>1</v>
      </c>
      <c r="C58" s="1" t="s">
        <v>27</v>
      </c>
    </row>
    <row r="59" spans="1:3" x14ac:dyDescent="0.25">
      <c r="A59" s="1">
        <v>52</v>
      </c>
      <c r="B59" s="1" t="s">
        <v>1</v>
      </c>
      <c r="C59" s="1" t="s">
        <v>26</v>
      </c>
    </row>
    <row r="60" spans="1:3" x14ac:dyDescent="0.25">
      <c r="A60" s="1">
        <v>53</v>
      </c>
      <c r="B60" s="1" t="s">
        <v>1</v>
      </c>
      <c r="C60" s="1" t="s">
        <v>25</v>
      </c>
    </row>
    <row r="61" spans="1:3" x14ac:dyDescent="0.25">
      <c r="A61" s="1">
        <v>54</v>
      </c>
      <c r="B61" s="1" t="s">
        <v>1</v>
      </c>
      <c r="C61" s="1" t="s">
        <v>24</v>
      </c>
    </row>
    <row r="62" spans="1:3" x14ac:dyDescent="0.25">
      <c r="A62" s="1">
        <v>55</v>
      </c>
      <c r="B62" s="1" t="s">
        <v>1</v>
      </c>
      <c r="C62" s="1" t="s">
        <v>23</v>
      </c>
    </row>
    <row r="63" spans="1:3" x14ac:dyDescent="0.25">
      <c r="A63" s="1">
        <v>56</v>
      </c>
      <c r="B63" s="1" t="s">
        <v>1</v>
      </c>
      <c r="C63" s="1" t="s">
        <v>22</v>
      </c>
    </row>
    <row r="64" spans="1:3" x14ac:dyDescent="0.25">
      <c r="A64" s="1">
        <v>57</v>
      </c>
      <c r="B64" s="1" t="s">
        <v>1</v>
      </c>
      <c r="C64" s="1" t="s">
        <v>21</v>
      </c>
    </row>
    <row r="65" spans="1:3" x14ac:dyDescent="0.25">
      <c r="A65" s="1">
        <v>58</v>
      </c>
      <c r="B65" s="1" t="s">
        <v>1</v>
      </c>
      <c r="C65" s="1" t="s">
        <v>20</v>
      </c>
    </row>
    <row r="66" spans="1:3" x14ac:dyDescent="0.25">
      <c r="A66" s="1">
        <v>59</v>
      </c>
      <c r="B66" s="1" t="s">
        <v>1</v>
      </c>
      <c r="C66" s="1" t="s">
        <v>29</v>
      </c>
    </row>
    <row r="67" spans="1:3" x14ac:dyDescent="0.25">
      <c r="A67" s="1">
        <v>60</v>
      </c>
      <c r="B67" s="1" t="s">
        <v>1</v>
      </c>
      <c r="C67" s="1" t="s">
        <v>19</v>
      </c>
    </row>
    <row r="68" spans="1:3" x14ac:dyDescent="0.25">
      <c r="A68" s="1">
        <v>61</v>
      </c>
      <c r="B68" s="1" t="s">
        <v>1</v>
      </c>
      <c r="C68" s="1" t="s">
        <v>18</v>
      </c>
    </row>
    <row r="69" spans="1:3" x14ac:dyDescent="0.25">
      <c r="A69" s="1">
        <v>62</v>
      </c>
      <c r="B69" s="1" t="s">
        <v>1</v>
      </c>
      <c r="C69" s="1" t="s">
        <v>17</v>
      </c>
    </row>
    <row r="70" spans="1:3" x14ac:dyDescent="0.25">
      <c r="A70" s="1">
        <v>63</v>
      </c>
      <c r="B70" s="1" t="s">
        <v>1</v>
      </c>
      <c r="C70" s="1" t="s">
        <v>2</v>
      </c>
    </row>
    <row r="71" spans="1:3" x14ac:dyDescent="0.25">
      <c r="A71" s="1">
        <v>64</v>
      </c>
      <c r="B71" s="1" t="s">
        <v>1</v>
      </c>
      <c r="C71" s="1" t="s">
        <v>16</v>
      </c>
    </row>
    <row r="72" spans="1:3" x14ac:dyDescent="0.25">
      <c r="A72" s="1">
        <v>65</v>
      </c>
      <c r="B72" s="1" t="s">
        <v>1</v>
      </c>
      <c r="C72" s="1" t="s">
        <v>15</v>
      </c>
    </row>
    <row r="73" spans="1:3" x14ac:dyDescent="0.25">
      <c r="A73" s="1">
        <v>66</v>
      </c>
      <c r="B73" s="1" t="s">
        <v>1</v>
      </c>
      <c r="C73" s="1" t="s">
        <v>14</v>
      </c>
    </row>
    <row r="74" spans="1:3" x14ac:dyDescent="0.25">
      <c r="A74" s="1">
        <v>67</v>
      </c>
      <c r="B74" s="1" t="s">
        <v>1</v>
      </c>
      <c r="C74" s="1" t="s">
        <v>13</v>
      </c>
    </row>
    <row r="75" spans="1:3" x14ac:dyDescent="0.25">
      <c r="A75" s="1">
        <v>68</v>
      </c>
      <c r="B75" s="1" t="s">
        <v>1</v>
      </c>
      <c r="C75" s="1" t="s">
        <v>12</v>
      </c>
    </row>
    <row r="76" spans="1:3" x14ac:dyDescent="0.25">
      <c r="A76" s="1">
        <v>69</v>
      </c>
      <c r="B76" s="1" t="s">
        <v>1</v>
      </c>
      <c r="C76" s="1" t="s">
        <v>11</v>
      </c>
    </row>
    <row r="77" spans="1:3" x14ac:dyDescent="0.25">
      <c r="A77" s="1">
        <v>70</v>
      </c>
      <c r="B77" s="1" t="s">
        <v>1</v>
      </c>
      <c r="C77" s="1" t="s">
        <v>10</v>
      </c>
    </row>
    <row r="78" spans="1:3" x14ac:dyDescent="0.25">
      <c r="A78" s="1">
        <v>71</v>
      </c>
      <c r="B78" s="1" t="s">
        <v>1</v>
      </c>
      <c r="C78" s="1" t="s">
        <v>2</v>
      </c>
    </row>
    <row r="79" spans="1:3" x14ac:dyDescent="0.25">
      <c r="A79" s="1">
        <v>72</v>
      </c>
      <c r="B79" s="1" t="s">
        <v>1</v>
      </c>
      <c r="C79" s="1" t="s">
        <v>9</v>
      </c>
    </row>
    <row r="80" spans="1:3" x14ac:dyDescent="0.25">
      <c r="A80" s="1">
        <v>73</v>
      </c>
      <c r="B80" s="1" t="s">
        <v>1</v>
      </c>
      <c r="C80" s="1" t="s">
        <v>8</v>
      </c>
    </row>
    <row r="81" spans="1:3" x14ac:dyDescent="0.25">
      <c r="A81" s="1">
        <v>74</v>
      </c>
      <c r="B81" s="1" t="s">
        <v>1</v>
      </c>
      <c r="C81" s="1" t="s">
        <v>7</v>
      </c>
    </row>
    <row r="82" spans="1:3" x14ac:dyDescent="0.25">
      <c r="A82" s="1">
        <v>75</v>
      </c>
      <c r="B82" s="1" t="s">
        <v>1</v>
      </c>
      <c r="C82" s="1" t="s">
        <v>6</v>
      </c>
    </row>
    <row r="83" spans="1:3" x14ac:dyDescent="0.25">
      <c r="A83" s="1">
        <v>76</v>
      </c>
      <c r="B83" s="1" t="s">
        <v>1</v>
      </c>
      <c r="C83" s="1" t="s">
        <v>5</v>
      </c>
    </row>
    <row r="84" spans="1:3" x14ac:dyDescent="0.25">
      <c r="A84" s="1">
        <v>77</v>
      </c>
      <c r="B84" s="1" t="s">
        <v>1</v>
      </c>
      <c r="C84" s="1" t="s">
        <v>4</v>
      </c>
    </row>
    <row r="85" spans="1:3" x14ac:dyDescent="0.25">
      <c r="A85" s="1">
        <v>78</v>
      </c>
      <c r="B85" s="1" t="s">
        <v>1</v>
      </c>
      <c r="C85" s="1" t="s">
        <v>3</v>
      </c>
    </row>
    <row r="86" spans="1:3" x14ac:dyDescent="0.25">
      <c r="A86" s="1">
        <v>79</v>
      </c>
      <c r="B86" s="1" t="s">
        <v>1</v>
      </c>
      <c r="C86" s="1" t="s">
        <v>2</v>
      </c>
    </row>
    <row r="87" spans="1:3" x14ac:dyDescent="0.25">
      <c r="A87" s="1">
        <v>80</v>
      </c>
      <c r="B87" s="1" t="s">
        <v>1</v>
      </c>
      <c r="C87" s="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E55EB-11BE-4ED8-A80E-96CF4D0A2D01}">
  <sheetPr codeName="Sheet3"/>
  <dimension ref="A1:C91"/>
  <sheetViews>
    <sheetView zoomScale="115" zoomScaleNormal="115" workbookViewId="0">
      <selection activeCell="C47" sqref="C47"/>
    </sheetView>
  </sheetViews>
  <sheetFormatPr defaultRowHeight="15" x14ac:dyDescent="0.25"/>
  <cols>
    <col min="1" max="1" width="15.5703125" style="1" customWidth="1"/>
    <col min="2" max="2" width="2.5703125" style="1" bestFit="1" customWidth="1"/>
    <col min="3" max="3" width="64.85546875" style="1" bestFit="1" customWidth="1"/>
  </cols>
  <sheetData>
    <row r="1" spans="1:3" s="7" customFormat="1" ht="15.75" x14ac:dyDescent="0.3">
      <c r="A1" s="5" t="s">
        <v>92</v>
      </c>
      <c r="B1" s="5"/>
      <c r="C1" s="5"/>
    </row>
    <row r="2" spans="1:3" x14ac:dyDescent="0.25">
      <c r="A2" s="1" t="s">
        <v>82</v>
      </c>
    </row>
    <row r="3" spans="1:3" x14ac:dyDescent="0.25">
      <c r="A3" s="1" t="s">
        <v>91</v>
      </c>
    </row>
    <row r="4" spans="1:3" x14ac:dyDescent="0.25">
      <c r="A4" s="1" t="s">
        <v>80</v>
      </c>
      <c r="B4" s="1" t="s">
        <v>1</v>
      </c>
      <c r="C4" s="1" t="s">
        <v>79</v>
      </c>
    </row>
    <row r="5" spans="1:3" x14ac:dyDescent="0.25">
      <c r="A5" s="1" t="s">
        <v>78</v>
      </c>
      <c r="B5" s="1" t="s">
        <v>1</v>
      </c>
      <c r="C5" s="1" t="s">
        <v>77</v>
      </c>
    </row>
    <row r="6" spans="1:3" x14ac:dyDescent="0.25">
      <c r="A6" s="1" t="s">
        <v>76</v>
      </c>
      <c r="B6" s="1" t="s">
        <v>1</v>
      </c>
      <c r="C6" s="9">
        <f>COUNTA(A:A)-6</f>
        <v>85</v>
      </c>
    </row>
    <row r="7" spans="1:3" x14ac:dyDescent="0.25">
      <c r="A7" s="1">
        <v>0</v>
      </c>
      <c r="B7" s="1" t="s">
        <v>1</v>
      </c>
      <c r="C7" s="1" t="s">
        <v>75</v>
      </c>
    </row>
    <row r="8" spans="1:3" x14ac:dyDescent="0.25">
      <c r="A8" s="1">
        <v>1</v>
      </c>
      <c r="B8" s="1" t="s">
        <v>1</v>
      </c>
      <c r="C8" s="1" t="s">
        <v>74</v>
      </c>
    </row>
    <row r="9" spans="1:3" x14ac:dyDescent="0.25">
      <c r="A9" s="1">
        <v>2</v>
      </c>
      <c r="B9" s="1" t="s">
        <v>1</v>
      </c>
      <c r="C9" s="1" t="s">
        <v>73</v>
      </c>
    </row>
    <row r="10" spans="1:3" x14ac:dyDescent="0.25">
      <c r="A10" s="1">
        <v>3</v>
      </c>
      <c r="B10" s="1" t="s">
        <v>1</v>
      </c>
      <c r="C10" s="1" t="s">
        <v>72</v>
      </c>
    </row>
    <row r="11" spans="1:3" x14ac:dyDescent="0.25">
      <c r="A11" s="1">
        <v>4</v>
      </c>
      <c r="B11" s="1" t="s">
        <v>1</v>
      </c>
      <c r="C11" s="1" t="s">
        <v>90</v>
      </c>
    </row>
    <row r="12" spans="1:3" x14ac:dyDescent="0.25">
      <c r="A12" s="1">
        <v>5</v>
      </c>
      <c r="B12" s="1" t="s">
        <v>1</v>
      </c>
      <c r="C12" s="1" t="s">
        <v>70</v>
      </c>
    </row>
    <row r="13" spans="1:3" x14ac:dyDescent="0.25">
      <c r="A13" s="1">
        <v>6</v>
      </c>
      <c r="B13" s="1" t="s">
        <v>1</v>
      </c>
      <c r="C13" s="1" t="s">
        <v>69</v>
      </c>
    </row>
    <row r="14" spans="1:3" x14ac:dyDescent="0.25">
      <c r="A14" s="1">
        <v>7</v>
      </c>
      <c r="B14" s="1" t="s">
        <v>1</v>
      </c>
      <c r="C14" s="1" t="s">
        <v>65</v>
      </c>
    </row>
    <row r="15" spans="1:3" x14ac:dyDescent="0.25">
      <c r="A15" s="1">
        <v>8</v>
      </c>
      <c r="B15" s="1" t="s">
        <v>1</v>
      </c>
      <c r="C15" s="1" t="s">
        <v>68</v>
      </c>
    </row>
    <row r="16" spans="1:3" x14ac:dyDescent="0.25">
      <c r="A16" s="1">
        <v>9</v>
      </c>
      <c r="B16" s="1" t="s">
        <v>1</v>
      </c>
      <c r="C16" s="1" t="s">
        <v>67</v>
      </c>
    </row>
    <row r="17" spans="1:3" x14ac:dyDescent="0.25">
      <c r="A17" s="1">
        <v>10</v>
      </c>
      <c r="B17" s="1" t="s">
        <v>1</v>
      </c>
      <c r="C17" s="1" t="s">
        <v>66</v>
      </c>
    </row>
    <row r="18" spans="1:3" x14ac:dyDescent="0.25">
      <c r="A18" s="1">
        <v>11</v>
      </c>
      <c r="B18" s="1" t="s">
        <v>1</v>
      </c>
      <c r="C18" s="1" t="s">
        <v>65</v>
      </c>
    </row>
    <row r="19" spans="1:3" x14ac:dyDescent="0.25">
      <c r="A19" s="1">
        <v>12</v>
      </c>
      <c r="B19" s="1" t="s">
        <v>1</v>
      </c>
      <c r="C19" s="1" t="s">
        <v>64</v>
      </c>
    </row>
    <row r="20" spans="1:3" x14ac:dyDescent="0.25">
      <c r="A20" s="1">
        <v>13</v>
      </c>
      <c r="B20" s="1" t="s">
        <v>1</v>
      </c>
      <c r="C20" s="1" t="s">
        <v>63</v>
      </c>
    </row>
    <row r="21" spans="1:3" x14ac:dyDescent="0.25">
      <c r="A21" s="1">
        <v>14</v>
      </c>
      <c r="B21" s="1" t="s">
        <v>1</v>
      </c>
      <c r="C21" s="1" t="s">
        <v>62</v>
      </c>
    </row>
    <row r="22" spans="1:3" x14ac:dyDescent="0.25">
      <c r="A22" s="1">
        <v>15</v>
      </c>
      <c r="B22" s="1" t="s">
        <v>1</v>
      </c>
      <c r="C22" s="1" t="s">
        <v>61</v>
      </c>
    </row>
    <row r="23" spans="1:3" x14ac:dyDescent="0.25">
      <c r="A23" s="1">
        <v>16</v>
      </c>
      <c r="B23" s="1" t="s">
        <v>1</v>
      </c>
      <c r="C23" s="1" t="s">
        <v>60</v>
      </c>
    </row>
    <row r="24" spans="1:3" x14ac:dyDescent="0.25">
      <c r="A24" s="1">
        <v>17</v>
      </c>
      <c r="B24" s="1" t="s">
        <v>1</v>
      </c>
      <c r="C24" s="1" t="s">
        <v>59</v>
      </c>
    </row>
    <row r="25" spans="1:3" x14ac:dyDescent="0.25">
      <c r="A25" s="1">
        <v>18</v>
      </c>
      <c r="B25" s="1" t="s">
        <v>1</v>
      </c>
      <c r="C25" s="1" t="s">
        <v>53</v>
      </c>
    </row>
    <row r="26" spans="1:3" x14ac:dyDescent="0.25">
      <c r="A26" s="1">
        <v>19</v>
      </c>
      <c r="B26" s="1" t="s">
        <v>1</v>
      </c>
      <c r="C26" s="1" t="s">
        <v>52</v>
      </c>
    </row>
    <row r="27" spans="1:3" x14ac:dyDescent="0.25">
      <c r="A27" s="1">
        <v>20</v>
      </c>
      <c r="B27" s="1" t="s">
        <v>1</v>
      </c>
      <c r="C27" s="1" t="s">
        <v>51</v>
      </c>
    </row>
    <row r="28" spans="1:3" x14ac:dyDescent="0.25">
      <c r="A28" s="1">
        <v>21</v>
      </c>
      <c r="B28" s="1" t="s">
        <v>1</v>
      </c>
      <c r="C28" s="1" t="s">
        <v>50</v>
      </c>
    </row>
    <row r="29" spans="1:3" x14ac:dyDescent="0.25">
      <c r="A29" s="1">
        <v>22</v>
      </c>
      <c r="B29" s="1" t="s">
        <v>1</v>
      </c>
      <c r="C29" s="1" t="s">
        <v>49</v>
      </c>
    </row>
    <row r="30" spans="1:3" x14ac:dyDescent="0.25">
      <c r="A30" s="1">
        <v>23</v>
      </c>
      <c r="B30" s="1" t="s">
        <v>1</v>
      </c>
      <c r="C30" s="1" t="s">
        <v>48</v>
      </c>
    </row>
    <row r="31" spans="1:3" x14ac:dyDescent="0.25">
      <c r="A31" s="1">
        <v>24</v>
      </c>
      <c r="B31" s="1" t="s">
        <v>1</v>
      </c>
      <c r="C31" s="1" t="s">
        <v>47</v>
      </c>
    </row>
    <row r="32" spans="1:3" x14ac:dyDescent="0.25">
      <c r="A32" s="1">
        <v>25</v>
      </c>
      <c r="B32" s="1" t="s">
        <v>1</v>
      </c>
      <c r="C32" s="1" t="s">
        <v>46</v>
      </c>
    </row>
    <row r="33" spans="1:3" x14ac:dyDescent="0.25">
      <c r="A33" s="1">
        <v>26</v>
      </c>
      <c r="B33" s="1" t="s">
        <v>1</v>
      </c>
      <c r="C33" s="1" t="s">
        <v>55</v>
      </c>
    </row>
    <row r="34" spans="1:3" x14ac:dyDescent="0.25">
      <c r="A34" s="1">
        <v>27</v>
      </c>
      <c r="B34" s="1" t="s">
        <v>1</v>
      </c>
      <c r="C34" s="1" t="s">
        <v>45</v>
      </c>
    </row>
    <row r="35" spans="1:3" x14ac:dyDescent="0.25">
      <c r="A35" s="1">
        <v>28</v>
      </c>
      <c r="B35" s="1" t="s">
        <v>1</v>
      </c>
      <c r="C35" s="1" t="s">
        <v>89</v>
      </c>
    </row>
    <row r="36" spans="1:3" x14ac:dyDescent="0.25">
      <c r="A36" s="1">
        <v>29</v>
      </c>
      <c r="B36" s="1" t="s">
        <v>1</v>
      </c>
      <c r="C36" s="1" t="s">
        <v>44</v>
      </c>
    </row>
    <row r="37" spans="1:3" x14ac:dyDescent="0.25">
      <c r="A37" s="1">
        <v>30</v>
      </c>
      <c r="B37" s="1" t="s">
        <v>1</v>
      </c>
      <c r="C37" s="1" t="s">
        <v>42</v>
      </c>
    </row>
    <row r="38" spans="1:3" x14ac:dyDescent="0.25">
      <c r="A38" s="1">
        <v>31</v>
      </c>
      <c r="B38" s="1" t="s">
        <v>1</v>
      </c>
      <c r="C38" s="1" t="s">
        <v>41</v>
      </c>
    </row>
    <row r="39" spans="1:3" x14ac:dyDescent="0.25">
      <c r="A39" s="1">
        <v>32</v>
      </c>
      <c r="B39" s="1" t="s">
        <v>1</v>
      </c>
      <c r="C39" s="1" t="s">
        <v>40</v>
      </c>
    </row>
    <row r="40" spans="1:3" x14ac:dyDescent="0.25">
      <c r="A40" s="1">
        <v>33</v>
      </c>
      <c r="B40" s="1" t="s">
        <v>1</v>
      </c>
      <c r="C40" s="1" t="s">
        <v>39</v>
      </c>
    </row>
    <row r="41" spans="1:3" x14ac:dyDescent="0.25">
      <c r="A41" s="1">
        <v>34</v>
      </c>
      <c r="B41" s="1" t="s">
        <v>1</v>
      </c>
      <c r="C41" s="1" t="s">
        <v>38</v>
      </c>
    </row>
    <row r="42" spans="1:3" x14ac:dyDescent="0.25">
      <c r="A42" s="1">
        <v>35</v>
      </c>
      <c r="B42" s="1" t="s">
        <v>1</v>
      </c>
      <c r="C42" s="1" t="s">
        <v>37</v>
      </c>
    </row>
    <row r="43" spans="1:3" x14ac:dyDescent="0.25">
      <c r="A43" s="1">
        <v>36</v>
      </c>
      <c r="B43" s="1" t="s">
        <v>1</v>
      </c>
      <c r="C43" s="1" t="s">
        <v>36</v>
      </c>
    </row>
    <row r="44" spans="1:3" x14ac:dyDescent="0.25">
      <c r="A44" s="1">
        <v>37</v>
      </c>
      <c r="B44" s="1" t="s">
        <v>1</v>
      </c>
      <c r="C44" s="1" t="s">
        <v>88</v>
      </c>
    </row>
    <row r="45" spans="1:3" x14ac:dyDescent="0.25">
      <c r="A45" s="1">
        <v>38</v>
      </c>
      <c r="B45" s="1" t="s">
        <v>1</v>
      </c>
      <c r="C45" s="1" t="s">
        <v>34</v>
      </c>
    </row>
    <row r="46" spans="1:3" x14ac:dyDescent="0.25">
      <c r="A46" s="1">
        <v>39</v>
      </c>
      <c r="B46" s="1" t="s">
        <v>1</v>
      </c>
      <c r="C46" s="1" t="s">
        <v>33</v>
      </c>
    </row>
    <row r="47" spans="1:3" x14ac:dyDescent="0.25">
      <c r="A47" s="1">
        <v>40</v>
      </c>
      <c r="B47" s="1" t="s">
        <v>1</v>
      </c>
      <c r="C47" s="1" t="s">
        <v>35</v>
      </c>
    </row>
    <row r="48" spans="1:3" x14ac:dyDescent="0.25">
      <c r="A48" s="1">
        <v>41</v>
      </c>
      <c r="B48" s="1" t="s">
        <v>1</v>
      </c>
      <c r="C48" s="1" t="s">
        <v>54</v>
      </c>
    </row>
    <row r="49" spans="1:3" x14ac:dyDescent="0.25">
      <c r="A49" s="1">
        <v>42</v>
      </c>
      <c r="B49" s="1" t="s">
        <v>1</v>
      </c>
      <c r="C49" s="1" t="s">
        <v>87</v>
      </c>
    </row>
    <row r="50" spans="1:3" x14ac:dyDescent="0.25">
      <c r="A50" s="1">
        <v>43</v>
      </c>
      <c r="B50" s="1" t="s">
        <v>1</v>
      </c>
      <c r="C50" s="1" t="s">
        <v>55</v>
      </c>
    </row>
    <row r="51" spans="1:3" x14ac:dyDescent="0.25">
      <c r="A51" s="1">
        <v>44</v>
      </c>
      <c r="B51" s="1" t="s">
        <v>1</v>
      </c>
      <c r="C51" s="1" t="s">
        <v>86</v>
      </c>
    </row>
    <row r="52" spans="1:3" x14ac:dyDescent="0.25">
      <c r="A52" s="1">
        <v>45</v>
      </c>
      <c r="B52" s="1" t="s">
        <v>1</v>
      </c>
      <c r="C52" s="1" t="s">
        <v>85</v>
      </c>
    </row>
    <row r="53" spans="1:3" x14ac:dyDescent="0.25">
      <c r="A53" s="1">
        <v>46</v>
      </c>
      <c r="B53" s="1" t="s">
        <v>1</v>
      </c>
      <c r="C53" s="1" t="s">
        <v>58</v>
      </c>
    </row>
    <row r="54" spans="1:3" x14ac:dyDescent="0.25">
      <c r="A54" s="1">
        <v>47</v>
      </c>
      <c r="B54" s="1" t="s">
        <v>1</v>
      </c>
      <c r="C54" s="1" t="s">
        <v>32</v>
      </c>
    </row>
    <row r="55" spans="1:3" x14ac:dyDescent="0.25">
      <c r="A55" s="1">
        <v>48</v>
      </c>
      <c r="B55" s="1" t="s">
        <v>1</v>
      </c>
      <c r="C55" s="1" t="s">
        <v>44</v>
      </c>
    </row>
    <row r="56" spans="1:3" x14ac:dyDescent="0.25">
      <c r="A56" s="1">
        <v>49</v>
      </c>
      <c r="B56" s="1" t="s">
        <v>1</v>
      </c>
      <c r="C56" s="1" t="s">
        <v>56</v>
      </c>
    </row>
    <row r="57" spans="1:3" x14ac:dyDescent="0.25">
      <c r="A57" s="1">
        <v>50</v>
      </c>
      <c r="B57" s="1" t="s">
        <v>1</v>
      </c>
      <c r="C57" s="1" t="s">
        <v>42</v>
      </c>
    </row>
    <row r="58" spans="1:3" x14ac:dyDescent="0.25">
      <c r="A58" s="1">
        <v>51</v>
      </c>
      <c r="B58" s="1" t="s">
        <v>1</v>
      </c>
      <c r="C58" s="1" t="s">
        <v>31</v>
      </c>
    </row>
    <row r="59" spans="1:3" x14ac:dyDescent="0.25">
      <c r="A59" s="1">
        <v>52</v>
      </c>
      <c r="B59" s="1" t="s">
        <v>1</v>
      </c>
      <c r="C59" s="1" t="s">
        <v>84</v>
      </c>
    </row>
    <row r="60" spans="1:3" x14ac:dyDescent="0.25">
      <c r="A60" s="1">
        <v>53</v>
      </c>
      <c r="B60" s="1" t="s">
        <v>1</v>
      </c>
      <c r="C60" s="1" t="s">
        <v>28</v>
      </c>
    </row>
    <row r="61" spans="1:3" x14ac:dyDescent="0.25">
      <c r="A61" s="1">
        <v>54</v>
      </c>
      <c r="B61" s="1" t="s">
        <v>1</v>
      </c>
      <c r="C61" s="1" t="s">
        <v>29</v>
      </c>
    </row>
    <row r="62" spans="1:3" x14ac:dyDescent="0.25">
      <c r="A62" s="1">
        <v>55</v>
      </c>
      <c r="B62" s="1" t="s">
        <v>1</v>
      </c>
      <c r="C62" s="1" t="s">
        <v>19</v>
      </c>
    </row>
    <row r="63" spans="1:3" x14ac:dyDescent="0.25">
      <c r="A63" s="1">
        <v>56</v>
      </c>
      <c r="B63" s="1" t="s">
        <v>1</v>
      </c>
      <c r="C63" s="1" t="s">
        <v>27</v>
      </c>
    </row>
    <row r="64" spans="1:3" x14ac:dyDescent="0.25">
      <c r="A64" s="1">
        <v>57</v>
      </c>
      <c r="B64" s="1" t="s">
        <v>1</v>
      </c>
      <c r="C64" s="1" t="s">
        <v>26</v>
      </c>
    </row>
    <row r="65" spans="1:3" x14ac:dyDescent="0.25">
      <c r="A65" s="1">
        <v>58</v>
      </c>
      <c r="B65" s="1" t="s">
        <v>1</v>
      </c>
      <c r="C65" s="1" t="s">
        <v>25</v>
      </c>
    </row>
    <row r="66" spans="1:3" x14ac:dyDescent="0.25">
      <c r="A66" s="1">
        <v>59</v>
      </c>
      <c r="B66" s="1" t="s">
        <v>1</v>
      </c>
      <c r="C66" s="1" t="s">
        <v>24</v>
      </c>
    </row>
    <row r="67" spans="1:3" x14ac:dyDescent="0.25">
      <c r="A67" s="1">
        <v>60</v>
      </c>
      <c r="B67" s="1" t="s">
        <v>1</v>
      </c>
      <c r="C67" s="1" t="s">
        <v>23</v>
      </c>
    </row>
    <row r="68" spans="1:3" x14ac:dyDescent="0.25">
      <c r="A68" s="1">
        <v>61</v>
      </c>
      <c r="B68" s="1" t="s">
        <v>1</v>
      </c>
      <c r="C68" s="1" t="s">
        <v>22</v>
      </c>
    </row>
    <row r="69" spans="1:3" x14ac:dyDescent="0.25">
      <c r="A69" s="1">
        <v>62</v>
      </c>
      <c r="B69" s="1" t="s">
        <v>1</v>
      </c>
      <c r="C69" s="1" t="s">
        <v>21</v>
      </c>
    </row>
    <row r="70" spans="1:3" x14ac:dyDescent="0.25">
      <c r="A70" s="1">
        <v>63</v>
      </c>
      <c r="B70" s="1" t="s">
        <v>1</v>
      </c>
      <c r="C70" s="1" t="s">
        <v>20</v>
      </c>
    </row>
    <row r="71" spans="1:3" x14ac:dyDescent="0.25">
      <c r="A71" s="1">
        <v>64</v>
      </c>
      <c r="B71" s="1" t="s">
        <v>1</v>
      </c>
      <c r="C71" s="1" t="s">
        <v>19</v>
      </c>
    </row>
    <row r="72" spans="1:3" x14ac:dyDescent="0.25">
      <c r="A72" s="1">
        <v>65</v>
      </c>
      <c r="B72" s="1" t="s">
        <v>1</v>
      </c>
      <c r="C72" s="1" t="s">
        <v>18</v>
      </c>
    </row>
    <row r="73" spans="1:3" x14ac:dyDescent="0.25">
      <c r="A73" s="1">
        <v>66</v>
      </c>
      <c r="B73" s="1" t="s">
        <v>1</v>
      </c>
      <c r="C73" s="1" t="s">
        <v>17</v>
      </c>
    </row>
    <row r="74" spans="1:3" x14ac:dyDescent="0.25">
      <c r="A74" s="1">
        <v>67</v>
      </c>
      <c r="B74" s="1" t="s">
        <v>1</v>
      </c>
      <c r="C74" s="1" t="s">
        <v>2</v>
      </c>
    </row>
    <row r="75" spans="1:3" x14ac:dyDescent="0.25">
      <c r="A75" s="1">
        <v>68</v>
      </c>
      <c r="B75" s="1" t="s">
        <v>1</v>
      </c>
      <c r="C75" s="1" t="s">
        <v>16</v>
      </c>
    </row>
    <row r="76" spans="1:3" x14ac:dyDescent="0.25">
      <c r="A76" s="1">
        <v>69</v>
      </c>
      <c r="B76" s="1" t="s">
        <v>1</v>
      </c>
      <c r="C76" s="1" t="s">
        <v>15</v>
      </c>
    </row>
    <row r="77" spans="1:3" x14ac:dyDescent="0.25">
      <c r="A77" s="1">
        <v>70</v>
      </c>
      <c r="B77" s="1" t="s">
        <v>1</v>
      </c>
      <c r="C77" s="1" t="s">
        <v>14</v>
      </c>
    </row>
    <row r="78" spans="1:3" x14ac:dyDescent="0.25">
      <c r="A78" s="1">
        <v>71</v>
      </c>
      <c r="B78" s="1" t="s">
        <v>1</v>
      </c>
      <c r="C78" s="1" t="s">
        <v>13</v>
      </c>
    </row>
    <row r="79" spans="1:3" x14ac:dyDescent="0.25">
      <c r="A79" s="1">
        <v>72</v>
      </c>
      <c r="B79" s="1" t="s">
        <v>1</v>
      </c>
      <c r="C79" s="1" t="s">
        <v>12</v>
      </c>
    </row>
    <row r="80" spans="1:3" x14ac:dyDescent="0.25">
      <c r="A80" s="1">
        <v>73</v>
      </c>
      <c r="B80" s="1" t="s">
        <v>1</v>
      </c>
      <c r="C80" s="1" t="s">
        <v>11</v>
      </c>
    </row>
    <row r="81" spans="1:3" x14ac:dyDescent="0.25">
      <c r="A81" s="1">
        <v>74</v>
      </c>
      <c r="B81" s="1" t="s">
        <v>1</v>
      </c>
      <c r="C81" s="1" t="s">
        <v>10</v>
      </c>
    </row>
    <row r="82" spans="1:3" x14ac:dyDescent="0.25">
      <c r="A82" s="1">
        <v>75</v>
      </c>
      <c r="B82" s="1" t="s">
        <v>1</v>
      </c>
      <c r="C82" s="1" t="s">
        <v>2</v>
      </c>
    </row>
    <row r="83" spans="1:3" x14ac:dyDescent="0.25">
      <c r="A83" s="1">
        <v>76</v>
      </c>
      <c r="B83" s="1" t="s">
        <v>1</v>
      </c>
      <c r="C83" s="1" t="s">
        <v>9</v>
      </c>
    </row>
    <row r="84" spans="1:3" x14ac:dyDescent="0.25">
      <c r="A84" s="1">
        <v>77</v>
      </c>
      <c r="B84" s="1" t="s">
        <v>1</v>
      </c>
      <c r="C84" s="1" t="s">
        <v>8</v>
      </c>
    </row>
    <row r="85" spans="1:3" x14ac:dyDescent="0.25">
      <c r="A85" s="1">
        <v>78</v>
      </c>
      <c r="B85" s="1" t="s">
        <v>1</v>
      </c>
      <c r="C85" s="1" t="s">
        <v>7</v>
      </c>
    </row>
    <row r="86" spans="1:3" x14ac:dyDescent="0.25">
      <c r="A86" s="1">
        <v>79</v>
      </c>
      <c r="B86" s="1" t="s">
        <v>1</v>
      </c>
      <c r="C86" s="1" t="s">
        <v>6</v>
      </c>
    </row>
    <row r="87" spans="1:3" x14ac:dyDescent="0.25">
      <c r="A87" s="1">
        <v>80</v>
      </c>
      <c r="B87" s="1" t="s">
        <v>1</v>
      </c>
      <c r="C87" s="1" t="s">
        <v>5</v>
      </c>
    </row>
    <row r="88" spans="1:3" x14ac:dyDescent="0.25">
      <c r="A88" s="1">
        <v>81</v>
      </c>
      <c r="B88" s="1" t="s">
        <v>1</v>
      </c>
      <c r="C88" s="1" t="s">
        <v>4</v>
      </c>
    </row>
    <row r="89" spans="1:3" x14ac:dyDescent="0.25">
      <c r="A89" s="1">
        <v>82</v>
      </c>
      <c r="B89" s="1" t="s">
        <v>1</v>
      </c>
      <c r="C89" s="1" t="s">
        <v>3</v>
      </c>
    </row>
    <row r="90" spans="1:3" x14ac:dyDescent="0.25">
      <c r="A90" s="1">
        <v>83</v>
      </c>
      <c r="B90" s="1" t="s">
        <v>1</v>
      </c>
      <c r="C90" s="1" t="s">
        <v>2</v>
      </c>
    </row>
    <row r="91" spans="1:3" x14ac:dyDescent="0.25">
      <c r="A91" s="1">
        <v>84</v>
      </c>
      <c r="B91" s="1" t="s">
        <v>1</v>
      </c>
      <c r="C91" s="1" t="s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3318-8974-4247-8BA2-604AED46EA2C}">
  <sheetPr codeName="Sheet6"/>
  <dimension ref="A1:D104"/>
  <sheetViews>
    <sheetView topLeftCell="A29" zoomScaleNormal="100" workbookViewId="0">
      <selection activeCell="C50" sqref="C50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  <col min="5" max="5" width="9.140625" customWidth="1"/>
  </cols>
  <sheetData>
    <row r="1" spans="1:4" s="7" customFormat="1" ht="15.75" x14ac:dyDescent="0.3">
      <c r="A1" s="5" t="s">
        <v>163</v>
      </c>
      <c r="B1" s="5"/>
      <c r="C1" s="5"/>
      <c r="D1" s="12"/>
    </row>
    <row r="2" spans="1:4" x14ac:dyDescent="0.25">
      <c r="A2" s="1" t="s">
        <v>156</v>
      </c>
      <c r="B2" s="1" t="s">
        <v>1</v>
      </c>
      <c r="C2" s="2" t="s">
        <v>155</v>
      </c>
    </row>
    <row r="3" spans="1:4" x14ac:dyDescent="0.25">
      <c r="A3" s="1" t="s">
        <v>154</v>
      </c>
      <c r="B3" s="1" t="s">
        <v>1</v>
      </c>
      <c r="C3" s="2">
        <v>0</v>
      </c>
    </row>
    <row r="4" spans="1:4" x14ac:dyDescent="0.25">
      <c r="A4" s="1" t="s">
        <v>153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152</v>
      </c>
      <c r="B5" s="1" t="s">
        <v>1</v>
      </c>
      <c r="C5" s="2" t="s">
        <v>780</v>
      </c>
    </row>
    <row r="6" spans="1:4" x14ac:dyDescent="0.25">
      <c r="A6" s="1" t="s">
        <v>151</v>
      </c>
      <c r="B6" s="1" t="s">
        <v>1</v>
      </c>
      <c r="C6" s="2" t="s">
        <v>783</v>
      </c>
    </row>
    <row r="7" spans="1:4" x14ac:dyDescent="0.25">
      <c r="A7" s="1" t="s">
        <v>150</v>
      </c>
      <c r="B7" s="1" t="s">
        <v>1</v>
      </c>
      <c r="C7" s="2" t="s">
        <v>781</v>
      </c>
    </row>
    <row r="8" spans="1:4" x14ac:dyDescent="0.25">
      <c r="A8" s="1" t="s">
        <v>149</v>
      </c>
      <c r="B8" s="1" t="s">
        <v>1</v>
      </c>
      <c r="C8" s="2" t="s">
        <v>782</v>
      </c>
    </row>
    <row r="9" spans="1:4" x14ac:dyDescent="0.25">
      <c r="A9" s="1" t="s">
        <v>148</v>
      </c>
      <c r="B9" s="1" t="s">
        <v>1</v>
      </c>
      <c r="C9" s="2" t="s">
        <v>793</v>
      </c>
    </row>
    <row r="10" spans="1:4" x14ac:dyDescent="0.25">
      <c r="A10" s="1" t="s">
        <v>147</v>
      </c>
      <c r="B10" s="1" t="s">
        <v>1</v>
      </c>
      <c r="C10" s="2" t="s">
        <v>789</v>
      </c>
    </row>
    <row r="11" spans="1:4" x14ac:dyDescent="0.25">
      <c r="A11" s="1" t="s">
        <v>146</v>
      </c>
      <c r="B11" s="1" t="s">
        <v>1</v>
      </c>
      <c r="C11" s="2" t="s">
        <v>784</v>
      </c>
    </row>
    <row r="12" spans="1:4" x14ac:dyDescent="0.25">
      <c r="A12" s="1" t="s">
        <v>145</v>
      </c>
      <c r="B12" s="1" t="s">
        <v>1</v>
      </c>
      <c r="C12" s="2" t="s">
        <v>785</v>
      </c>
    </row>
    <row r="13" spans="1:4" x14ac:dyDescent="0.25">
      <c r="A13" s="1" t="s">
        <v>144</v>
      </c>
      <c r="B13" s="1" t="s">
        <v>1</v>
      </c>
      <c r="C13" s="2" t="s">
        <v>794</v>
      </c>
    </row>
    <row r="14" spans="1:4" x14ac:dyDescent="0.25">
      <c r="A14" s="1" t="s">
        <v>143</v>
      </c>
      <c r="B14" s="1" t="s">
        <v>1</v>
      </c>
      <c r="C14" s="2" t="s">
        <v>788</v>
      </c>
    </row>
    <row r="15" spans="1:4" x14ac:dyDescent="0.25">
      <c r="A15" s="1" t="s">
        <v>142</v>
      </c>
      <c r="B15" s="1" t="s">
        <v>1</v>
      </c>
      <c r="C15" s="2" t="s">
        <v>786</v>
      </c>
    </row>
    <row r="16" spans="1:4" x14ac:dyDescent="0.25">
      <c r="A16" s="1" t="s">
        <v>141</v>
      </c>
      <c r="B16" s="1" t="s">
        <v>1</v>
      </c>
      <c r="C16" s="2" t="s">
        <v>787</v>
      </c>
    </row>
    <row r="17" spans="1:3" x14ac:dyDescent="0.25">
      <c r="A17" s="1" t="s">
        <v>140</v>
      </c>
      <c r="B17" s="1" t="s">
        <v>1</v>
      </c>
      <c r="C17" s="2" t="s">
        <v>792</v>
      </c>
    </row>
    <row r="18" spans="1:3" x14ac:dyDescent="0.25">
      <c r="A18" s="1" t="s">
        <v>139</v>
      </c>
      <c r="B18" s="1" t="s">
        <v>1</v>
      </c>
      <c r="C18" s="2" t="s">
        <v>795</v>
      </c>
    </row>
    <row r="19" spans="1:3" x14ac:dyDescent="0.25">
      <c r="A19" s="1" t="s">
        <v>138</v>
      </c>
      <c r="B19" s="1" t="s">
        <v>1</v>
      </c>
      <c r="C19" s="2" t="s">
        <v>790</v>
      </c>
    </row>
    <row r="20" spans="1:3" x14ac:dyDescent="0.25">
      <c r="A20" s="1" t="s">
        <v>137</v>
      </c>
      <c r="B20" s="1" t="s">
        <v>1</v>
      </c>
      <c r="C20" s="2" t="s">
        <v>791</v>
      </c>
    </row>
    <row r="21" spans="1:3" x14ac:dyDescent="0.25">
      <c r="A21" s="1" t="s">
        <v>136</v>
      </c>
      <c r="B21" s="1" t="s">
        <v>1</v>
      </c>
      <c r="C21" s="2" t="s">
        <v>796</v>
      </c>
    </row>
    <row r="22" spans="1:3" x14ac:dyDescent="0.25">
      <c r="A22" s="1" t="s">
        <v>135</v>
      </c>
      <c r="B22" s="1" t="s">
        <v>1</v>
      </c>
      <c r="C22" s="2" t="s">
        <v>797</v>
      </c>
    </row>
    <row r="23" spans="1:3" x14ac:dyDescent="0.25">
      <c r="A23" s="1" t="s">
        <v>134</v>
      </c>
      <c r="B23" s="1" t="s">
        <v>1</v>
      </c>
      <c r="C23" s="2" t="s">
        <v>798</v>
      </c>
    </row>
    <row r="24" spans="1:3" x14ac:dyDescent="0.25">
      <c r="A24" s="1" t="s">
        <v>133</v>
      </c>
      <c r="B24" s="1" t="s">
        <v>1</v>
      </c>
      <c r="C24" s="2" t="s">
        <v>799</v>
      </c>
    </row>
    <row r="25" spans="1:3" x14ac:dyDescent="0.25">
      <c r="A25" s="1" t="s">
        <v>132</v>
      </c>
      <c r="B25" s="1" t="s">
        <v>1</v>
      </c>
      <c r="C25" s="2" t="s">
        <v>800</v>
      </c>
    </row>
    <row r="26" spans="1:3" x14ac:dyDescent="0.25">
      <c r="A26" s="1" t="s">
        <v>131</v>
      </c>
      <c r="B26" s="1" t="s">
        <v>1</v>
      </c>
      <c r="C26" s="2" t="s">
        <v>801</v>
      </c>
    </row>
    <row r="27" spans="1:3" x14ac:dyDescent="0.25">
      <c r="A27" s="1" t="s">
        <v>130</v>
      </c>
      <c r="B27" s="1" t="s">
        <v>1</v>
      </c>
      <c r="C27" s="2" t="s">
        <v>802</v>
      </c>
    </row>
    <row r="28" spans="1:3" x14ac:dyDescent="0.25">
      <c r="A28" s="1" t="s">
        <v>129</v>
      </c>
      <c r="B28" s="1" t="s">
        <v>1</v>
      </c>
      <c r="C28" s="2" t="s">
        <v>803</v>
      </c>
    </row>
    <row r="29" spans="1:3" x14ac:dyDescent="0.25">
      <c r="A29" s="1" t="s">
        <v>128</v>
      </c>
      <c r="B29" s="1" t="s">
        <v>1</v>
      </c>
      <c r="C29" s="2" t="s">
        <v>804</v>
      </c>
    </row>
    <row r="30" spans="1:3" x14ac:dyDescent="0.25">
      <c r="A30" s="1" t="s">
        <v>127</v>
      </c>
      <c r="B30" s="1" t="s">
        <v>1</v>
      </c>
      <c r="C30" s="2" t="s">
        <v>805</v>
      </c>
    </row>
    <row r="31" spans="1:3" x14ac:dyDescent="0.25">
      <c r="A31" s="1" t="s">
        <v>126</v>
      </c>
      <c r="B31" s="1" t="s">
        <v>1</v>
      </c>
      <c r="C31" s="2" t="s">
        <v>806</v>
      </c>
    </row>
    <row r="32" spans="1:3" x14ac:dyDescent="0.25">
      <c r="A32" s="1" t="s">
        <v>125</v>
      </c>
      <c r="B32" s="1" t="s">
        <v>1</v>
      </c>
      <c r="C32" s="2" t="s">
        <v>807</v>
      </c>
    </row>
    <row r="33" spans="1:3" x14ac:dyDescent="0.25">
      <c r="A33" s="1" t="s">
        <v>124</v>
      </c>
      <c r="B33" s="1" t="s">
        <v>1</v>
      </c>
      <c r="C33" s="2" t="s">
        <v>808</v>
      </c>
    </row>
    <row r="34" spans="1:3" x14ac:dyDescent="0.25">
      <c r="A34" s="1" t="s">
        <v>123</v>
      </c>
      <c r="B34" s="1" t="s">
        <v>1</v>
      </c>
      <c r="C34" s="2" t="s">
        <v>809</v>
      </c>
    </row>
    <row r="35" spans="1:3" x14ac:dyDescent="0.25">
      <c r="A35" s="1" t="s">
        <v>665</v>
      </c>
      <c r="B35" s="1" t="s">
        <v>1</v>
      </c>
      <c r="C35" s="2" t="s">
        <v>826</v>
      </c>
    </row>
    <row r="36" spans="1:3" x14ac:dyDescent="0.25">
      <c r="A36" s="1" t="s">
        <v>666</v>
      </c>
      <c r="B36" s="1" t="s">
        <v>1</v>
      </c>
      <c r="C36" s="2" t="s">
        <v>825</v>
      </c>
    </row>
    <row r="37" spans="1:3" x14ac:dyDescent="0.25">
      <c r="A37" s="1" t="s">
        <v>667</v>
      </c>
      <c r="B37" s="1" t="s">
        <v>1</v>
      </c>
      <c r="C37" s="2" t="s">
        <v>827</v>
      </c>
    </row>
    <row r="38" spans="1:3" x14ac:dyDescent="0.25">
      <c r="A38" s="1" t="s">
        <v>668</v>
      </c>
      <c r="B38" s="1" t="s">
        <v>1</v>
      </c>
      <c r="C38" s="2" t="s">
        <v>828</v>
      </c>
    </row>
    <row r="39" spans="1:3" x14ac:dyDescent="0.25">
      <c r="A39" s="1" t="s">
        <v>669</v>
      </c>
      <c r="B39" s="1" t="s">
        <v>1</v>
      </c>
      <c r="C39" s="2" t="s">
        <v>829</v>
      </c>
    </row>
    <row r="40" spans="1:3" x14ac:dyDescent="0.25">
      <c r="A40" s="1" t="s">
        <v>810</v>
      </c>
      <c r="B40" s="1" t="s">
        <v>1</v>
      </c>
      <c r="C40" s="2" t="s">
        <v>830</v>
      </c>
    </row>
    <row r="41" spans="1:3" x14ac:dyDescent="0.25">
      <c r="A41" s="1" t="s">
        <v>811</v>
      </c>
      <c r="B41" s="1" t="s">
        <v>1</v>
      </c>
      <c r="C41" s="2" t="s">
        <v>831</v>
      </c>
    </row>
    <row r="42" spans="1:3" x14ac:dyDescent="0.25">
      <c r="A42" s="1" t="s">
        <v>812</v>
      </c>
      <c r="B42" s="1" t="s">
        <v>1</v>
      </c>
      <c r="C42" s="2" t="s">
        <v>832</v>
      </c>
    </row>
    <row r="43" spans="1:3" x14ac:dyDescent="0.25">
      <c r="A43" s="1" t="s">
        <v>813</v>
      </c>
      <c r="B43" s="1" t="s">
        <v>1</v>
      </c>
      <c r="C43" s="2" t="s">
        <v>834</v>
      </c>
    </row>
    <row r="44" spans="1:3" x14ac:dyDescent="0.25">
      <c r="A44" s="1" t="s">
        <v>814</v>
      </c>
      <c r="B44" s="1" t="s">
        <v>1</v>
      </c>
      <c r="C44" s="2" t="s">
        <v>833</v>
      </c>
    </row>
    <row r="45" spans="1:3" x14ac:dyDescent="0.25">
      <c r="A45" s="1" t="s">
        <v>815</v>
      </c>
      <c r="B45" s="1" t="s">
        <v>1</v>
      </c>
      <c r="C45" s="2" t="s">
        <v>835</v>
      </c>
    </row>
    <row r="46" spans="1:3" x14ac:dyDescent="0.25">
      <c r="A46" s="1" t="s">
        <v>816</v>
      </c>
      <c r="B46" s="1" t="s">
        <v>1</v>
      </c>
      <c r="C46" s="1" t="s">
        <v>836</v>
      </c>
    </row>
    <row r="47" spans="1:3" x14ac:dyDescent="0.25">
      <c r="A47" s="1" t="s">
        <v>817</v>
      </c>
      <c r="B47" s="1" t="s">
        <v>1</v>
      </c>
      <c r="C47" s="2" t="s">
        <v>837</v>
      </c>
    </row>
    <row r="48" spans="1:3" x14ac:dyDescent="0.25">
      <c r="A48" s="1" t="s">
        <v>818</v>
      </c>
      <c r="B48" s="1" t="s">
        <v>1</v>
      </c>
      <c r="C48" s="2" t="s">
        <v>948</v>
      </c>
    </row>
    <row r="49" spans="1:4" x14ac:dyDescent="0.25">
      <c r="A49" s="1" t="s">
        <v>819</v>
      </c>
      <c r="B49" s="1" t="s">
        <v>1</v>
      </c>
      <c r="C49" s="2" t="s">
        <v>946</v>
      </c>
    </row>
    <row r="50" spans="1:4" x14ac:dyDescent="0.25">
      <c r="A50" s="1" t="s">
        <v>820</v>
      </c>
      <c r="B50" s="1" t="s">
        <v>1</v>
      </c>
      <c r="C50" s="2" t="s">
        <v>947</v>
      </c>
    </row>
    <row r="51" spans="1:4" x14ac:dyDescent="0.25">
      <c r="A51" s="1" t="s">
        <v>821</v>
      </c>
      <c r="B51" s="1" t="s">
        <v>1</v>
      </c>
      <c r="C51" s="2" t="s">
        <v>838</v>
      </c>
    </row>
    <row r="52" spans="1:4" x14ac:dyDescent="0.25">
      <c r="A52" s="1" t="s">
        <v>822</v>
      </c>
      <c r="B52" s="1" t="s">
        <v>1</v>
      </c>
      <c r="C52" s="2" t="s">
        <v>839</v>
      </c>
    </row>
    <row r="53" spans="1:4" x14ac:dyDescent="0.25">
      <c r="A53" s="1" t="s">
        <v>823</v>
      </c>
      <c r="B53" s="1" t="s">
        <v>1</v>
      </c>
      <c r="C53" s="2" t="s">
        <v>840</v>
      </c>
    </row>
    <row r="54" spans="1:4" x14ac:dyDescent="0.25">
      <c r="A54" s="1" t="s">
        <v>824</v>
      </c>
      <c r="B54" s="1" t="s">
        <v>1</v>
      </c>
      <c r="C54" s="2" t="s">
        <v>841</v>
      </c>
    </row>
    <row r="55" spans="1:4" x14ac:dyDescent="0.25">
      <c r="A55" s="1" t="s">
        <v>122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121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120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119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118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117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116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115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114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113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112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111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110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109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108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107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106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105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104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103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102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101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100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99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98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97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96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95</v>
      </c>
      <c r="B82" s="1" t="s">
        <v>1</v>
      </c>
      <c r="C82" s="2" t="str">
        <f>".equ PostShiftA,                " &amp; D82</f>
        <v>.equ PostShiftA,                54</v>
      </c>
      <c r="D82" s="13">
        <v>54</v>
      </c>
    </row>
    <row r="83" spans="1:4" x14ac:dyDescent="0.25">
      <c r="A83" s="1" t="s">
        <v>94</v>
      </c>
      <c r="B83" s="1" t="s">
        <v>1</v>
      </c>
      <c r="C83" s="2" t="str">
        <f>".equ reserved_1,                " &amp; D83</f>
        <v>.equ reserved_1,                56</v>
      </c>
      <c r="D83" s="13">
        <v>56</v>
      </c>
    </row>
    <row r="84" spans="1:4" x14ac:dyDescent="0.25">
      <c r="A84" s="1" t="s">
        <v>93</v>
      </c>
      <c r="B84" s="1" t="s">
        <v>1</v>
      </c>
      <c r="C84" s="2" t="str">
        <f>".equ PostScaler,                " &amp; D84</f>
        <v>.equ PostScaler,                58</v>
      </c>
      <c r="D84" s="13">
        <v>58</v>
      </c>
    </row>
    <row r="85" spans="1:4" x14ac:dyDescent="0.25">
      <c r="A85" s="1" t="s">
        <v>660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661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662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663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664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766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767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768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769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770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771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772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773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774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775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776</v>
      </c>
      <c r="B100" s="1" t="s">
        <v>1</v>
      </c>
      <c r="C100" s="1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777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778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779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842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7C62-3FC3-4787-AEBB-5DF018DBB4C3}">
  <sheetPr codeName="Sheet5"/>
  <dimension ref="A1:C89"/>
  <sheetViews>
    <sheetView zoomScale="130" zoomScaleNormal="130" workbookViewId="0">
      <selection activeCell="A7" sqref="A7:A89"/>
    </sheetView>
  </sheetViews>
  <sheetFormatPr defaultRowHeight="15" x14ac:dyDescent="0.25"/>
  <cols>
    <col min="1" max="1" width="15" style="1" customWidth="1"/>
    <col min="2" max="2" width="2.5703125" style="1" bestFit="1" customWidth="1"/>
    <col min="3" max="3" width="52.85546875" style="1" bestFit="1" customWidth="1"/>
  </cols>
  <sheetData>
    <row r="1" spans="1:3" s="7" customFormat="1" ht="15.75" x14ac:dyDescent="0.3">
      <c r="A1" s="5" t="s">
        <v>162</v>
      </c>
      <c r="B1" s="5"/>
      <c r="C1" s="5"/>
    </row>
    <row r="2" spans="1:3" x14ac:dyDescent="0.25">
      <c r="A2" s="1" t="s">
        <v>161</v>
      </c>
      <c r="C2" s="2"/>
    </row>
    <row r="3" spans="1:3" x14ac:dyDescent="0.25">
      <c r="A3" s="1" t="s">
        <v>160</v>
      </c>
      <c r="C3" s="2"/>
    </row>
    <row r="4" spans="1:3" x14ac:dyDescent="0.25">
      <c r="A4" s="1" t="s">
        <v>80</v>
      </c>
      <c r="B4" s="1" t="s">
        <v>1</v>
      </c>
      <c r="C4" s="2" t="s">
        <v>79</v>
      </c>
    </row>
    <row r="5" spans="1:3" x14ac:dyDescent="0.25">
      <c r="A5" s="1" t="s">
        <v>78</v>
      </c>
      <c r="B5" s="1" t="s">
        <v>1</v>
      </c>
      <c r="C5" s="2" t="s">
        <v>77</v>
      </c>
    </row>
    <row r="6" spans="1:3" x14ac:dyDescent="0.25">
      <c r="A6" s="1" t="s">
        <v>76</v>
      </c>
      <c r="B6" s="1" t="s">
        <v>1</v>
      </c>
      <c r="C6" s="9">
        <f>COUNTA(A:A)-6</f>
        <v>83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159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x14ac:dyDescent="0.25">
      <c r="A13" s="1">
        <v>6</v>
      </c>
      <c r="B13" s="1" t="s">
        <v>1</v>
      </c>
      <c r="C13" s="2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64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57</v>
      </c>
    </row>
    <row r="28" spans="1:3" x14ac:dyDescent="0.25">
      <c r="A28" s="1">
        <v>21</v>
      </c>
      <c r="B28" s="1" t="s">
        <v>1</v>
      </c>
      <c r="C28" s="2" t="s">
        <v>56</v>
      </c>
    </row>
    <row r="29" spans="1:3" x14ac:dyDescent="0.25">
      <c r="A29" s="1">
        <v>22</v>
      </c>
      <c r="B29" s="1" t="s">
        <v>1</v>
      </c>
      <c r="C29" s="2" t="s">
        <v>42</v>
      </c>
    </row>
    <row r="30" spans="1:3" x14ac:dyDescent="0.25">
      <c r="A30" s="1">
        <v>23</v>
      </c>
      <c r="B30" s="1" t="s">
        <v>1</v>
      </c>
      <c r="C30" s="2" t="s">
        <v>46</v>
      </c>
    </row>
    <row r="31" spans="1:3" x14ac:dyDescent="0.25">
      <c r="A31" s="1">
        <v>24</v>
      </c>
      <c r="B31" s="1" t="s">
        <v>1</v>
      </c>
      <c r="C31" s="2" t="s">
        <v>55</v>
      </c>
    </row>
    <row r="32" spans="1:3" x14ac:dyDescent="0.25">
      <c r="A32" s="1">
        <v>25</v>
      </c>
      <c r="B32" s="1" t="s">
        <v>1</v>
      </c>
      <c r="C32" s="2" t="s">
        <v>53</v>
      </c>
    </row>
    <row r="33" spans="1:3" x14ac:dyDescent="0.25">
      <c r="A33" s="1">
        <v>26</v>
      </c>
      <c r="B33" s="1" t="s">
        <v>1</v>
      </c>
      <c r="C33" s="2" t="s">
        <v>52</v>
      </c>
    </row>
    <row r="34" spans="1:3" x14ac:dyDescent="0.25">
      <c r="A34" s="1">
        <v>27</v>
      </c>
      <c r="B34" s="1" t="s">
        <v>1</v>
      </c>
      <c r="C34" s="2" t="s">
        <v>51</v>
      </c>
    </row>
    <row r="35" spans="1:3" x14ac:dyDescent="0.25">
      <c r="A35" s="1">
        <v>28</v>
      </c>
      <c r="B35" s="1" t="s">
        <v>1</v>
      </c>
      <c r="C35" s="2" t="s">
        <v>50</v>
      </c>
    </row>
    <row r="36" spans="1:3" x14ac:dyDescent="0.25">
      <c r="A36" s="1">
        <v>29</v>
      </c>
      <c r="B36" s="1" t="s">
        <v>1</v>
      </c>
      <c r="C36" s="2" t="s">
        <v>49</v>
      </c>
    </row>
    <row r="37" spans="1:3" x14ac:dyDescent="0.25">
      <c r="A37" s="1">
        <v>30</v>
      </c>
      <c r="B37" s="1" t="s">
        <v>1</v>
      </c>
      <c r="C37" s="2" t="s">
        <v>48</v>
      </c>
    </row>
    <row r="38" spans="1:3" x14ac:dyDescent="0.25">
      <c r="A38" s="1">
        <v>31</v>
      </c>
      <c r="B38" s="1" t="s">
        <v>1</v>
      </c>
      <c r="C38" s="2" t="s">
        <v>47</v>
      </c>
    </row>
    <row r="39" spans="1:3" x14ac:dyDescent="0.25">
      <c r="A39" s="1">
        <v>32</v>
      </c>
      <c r="B39" s="1" t="s">
        <v>1</v>
      </c>
      <c r="C39" s="2" t="s">
        <v>54</v>
      </c>
    </row>
    <row r="40" spans="1:3" x14ac:dyDescent="0.25">
      <c r="A40" s="1">
        <v>33</v>
      </c>
      <c r="B40" s="1" t="s">
        <v>1</v>
      </c>
      <c r="C40" s="2" t="s">
        <v>45</v>
      </c>
    </row>
    <row r="41" spans="1:3" x14ac:dyDescent="0.25">
      <c r="A41" s="1">
        <v>34</v>
      </c>
      <c r="B41" s="1" t="s">
        <v>1</v>
      </c>
      <c r="C41" s="2" t="s">
        <v>44</v>
      </c>
    </row>
    <row r="42" spans="1:3" x14ac:dyDescent="0.25">
      <c r="A42" s="1">
        <v>35</v>
      </c>
      <c r="B42" s="1" t="s">
        <v>1</v>
      </c>
      <c r="C42" s="2" t="s">
        <v>43</v>
      </c>
    </row>
    <row r="43" spans="1:3" x14ac:dyDescent="0.25">
      <c r="A43" s="1">
        <v>36</v>
      </c>
      <c r="B43" s="1" t="s">
        <v>1</v>
      </c>
      <c r="C43" s="2" t="s">
        <v>42</v>
      </c>
    </row>
    <row r="44" spans="1:3" x14ac:dyDescent="0.25">
      <c r="A44" s="1">
        <v>37</v>
      </c>
      <c r="B44" s="1" t="s">
        <v>1</v>
      </c>
      <c r="C44" s="2" t="s">
        <v>41</v>
      </c>
    </row>
    <row r="45" spans="1:3" x14ac:dyDescent="0.25">
      <c r="A45" s="1">
        <v>38</v>
      </c>
      <c r="B45" s="1" t="s">
        <v>1</v>
      </c>
      <c r="C45" s="2" t="s">
        <v>40</v>
      </c>
    </row>
    <row r="46" spans="1:3" x14ac:dyDescent="0.25">
      <c r="A46" s="1">
        <v>39</v>
      </c>
      <c r="B46" s="1" t="s">
        <v>1</v>
      </c>
      <c r="C46" s="2" t="s">
        <v>158</v>
      </c>
    </row>
    <row r="47" spans="1:3" x14ac:dyDescent="0.25">
      <c r="A47" s="1">
        <v>40</v>
      </c>
      <c r="B47" s="1" t="s">
        <v>1</v>
      </c>
      <c r="C47" s="2" t="s">
        <v>40</v>
      </c>
    </row>
    <row r="48" spans="1:3" x14ac:dyDescent="0.25">
      <c r="A48" s="1">
        <v>41</v>
      </c>
      <c r="B48" s="1" t="s">
        <v>1</v>
      </c>
      <c r="C48" s="2" t="s">
        <v>39</v>
      </c>
    </row>
    <row r="49" spans="1:3" x14ac:dyDescent="0.25">
      <c r="A49" s="1">
        <v>42</v>
      </c>
      <c r="B49" s="1" t="s">
        <v>1</v>
      </c>
      <c r="C49" s="2" t="s">
        <v>38</v>
      </c>
    </row>
    <row r="50" spans="1:3" x14ac:dyDescent="0.25">
      <c r="A50" s="1">
        <v>43</v>
      </c>
      <c r="B50" s="1" t="s">
        <v>1</v>
      </c>
      <c r="C50" s="2" t="s">
        <v>37</v>
      </c>
    </row>
    <row r="51" spans="1:3" x14ac:dyDescent="0.25">
      <c r="A51" s="1">
        <v>44</v>
      </c>
      <c r="B51" s="1" t="s">
        <v>1</v>
      </c>
      <c r="C51" s="2" t="s">
        <v>36</v>
      </c>
    </row>
    <row r="52" spans="1:3" x14ac:dyDescent="0.25">
      <c r="A52" s="1">
        <v>45</v>
      </c>
      <c r="B52" s="1" t="s">
        <v>1</v>
      </c>
      <c r="C52" s="2" t="s">
        <v>35</v>
      </c>
    </row>
    <row r="53" spans="1:3" x14ac:dyDescent="0.25">
      <c r="A53" s="1">
        <v>46</v>
      </c>
      <c r="B53" s="1" t="s">
        <v>1</v>
      </c>
      <c r="C53" s="2" t="s">
        <v>34</v>
      </c>
    </row>
    <row r="54" spans="1:3" x14ac:dyDescent="0.25">
      <c r="A54" s="1">
        <v>47</v>
      </c>
      <c r="B54" s="1" t="s">
        <v>1</v>
      </c>
      <c r="C54" s="2" t="s">
        <v>33</v>
      </c>
    </row>
    <row r="55" spans="1:3" x14ac:dyDescent="0.25">
      <c r="A55" s="1">
        <v>48</v>
      </c>
      <c r="B55" s="1" t="s">
        <v>1</v>
      </c>
      <c r="C55" s="2" t="s">
        <v>32</v>
      </c>
    </row>
    <row r="56" spans="1:3" x14ac:dyDescent="0.25">
      <c r="A56" s="1">
        <v>49</v>
      </c>
      <c r="B56" s="1" t="s">
        <v>1</v>
      </c>
      <c r="C56" s="2" t="s">
        <v>31</v>
      </c>
    </row>
    <row r="57" spans="1:3" x14ac:dyDescent="0.25">
      <c r="A57" s="1">
        <v>50</v>
      </c>
      <c r="B57" s="1" t="s">
        <v>1</v>
      </c>
      <c r="C57" s="2" t="s">
        <v>30</v>
      </c>
    </row>
    <row r="58" spans="1:3" x14ac:dyDescent="0.25">
      <c r="A58" s="1">
        <v>51</v>
      </c>
      <c r="B58" s="1" t="s">
        <v>1</v>
      </c>
      <c r="C58" s="2" t="s">
        <v>28</v>
      </c>
    </row>
    <row r="59" spans="1:3" x14ac:dyDescent="0.25">
      <c r="A59" s="1">
        <v>52</v>
      </c>
      <c r="B59" s="1" t="s">
        <v>1</v>
      </c>
      <c r="C59" s="2" t="s">
        <v>19</v>
      </c>
    </row>
    <row r="60" spans="1:3" x14ac:dyDescent="0.25">
      <c r="A60" s="1">
        <v>53</v>
      </c>
      <c r="B60" s="1" t="s">
        <v>1</v>
      </c>
      <c r="C60" s="2" t="s">
        <v>27</v>
      </c>
    </row>
    <row r="61" spans="1:3" x14ac:dyDescent="0.25">
      <c r="A61" s="1">
        <v>54</v>
      </c>
      <c r="B61" s="1" t="s">
        <v>1</v>
      </c>
      <c r="C61" s="2" t="s">
        <v>26</v>
      </c>
    </row>
    <row r="62" spans="1:3" x14ac:dyDescent="0.25">
      <c r="A62" s="1">
        <v>55</v>
      </c>
      <c r="B62" s="1" t="s">
        <v>1</v>
      </c>
      <c r="C62" s="2" t="s">
        <v>25</v>
      </c>
    </row>
    <row r="63" spans="1:3" x14ac:dyDescent="0.25">
      <c r="A63" s="1">
        <v>56</v>
      </c>
      <c r="B63" s="1" t="s">
        <v>1</v>
      </c>
      <c r="C63" s="2" t="s">
        <v>24</v>
      </c>
    </row>
    <row r="64" spans="1:3" x14ac:dyDescent="0.25">
      <c r="A64" s="1">
        <v>57</v>
      </c>
      <c r="B64" s="1" t="s">
        <v>1</v>
      </c>
      <c r="C64" s="2" t="s">
        <v>23</v>
      </c>
    </row>
    <row r="65" spans="1:3" x14ac:dyDescent="0.25">
      <c r="A65" s="1">
        <v>58</v>
      </c>
      <c r="B65" s="1" t="s">
        <v>1</v>
      </c>
      <c r="C65" s="2" t="s">
        <v>22</v>
      </c>
    </row>
    <row r="66" spans="1:3" x14ac:dyDescent="0.25">
      <c r="A66" s="1">
        <v>59</v>
      </c>
      <c r="B66" s="1" t="s">
        <v>1</v>
      </c>
      <c r="C66" s="2" t="s">
        <v>21</v>
      </c>
    </row>
    <row r="67" spans="1:3" x14ac:dyDescent="0.25">
      <c r="A67" s="1">
        <v>60</v>
      </c>
      <c r="B67" s="1" t="s">
        <v>1</v>
      </c>
      <c r="C67" s="2" t="s">
        <v>20</v>
      </c>
    </row>
    <row r="68" spans="1:3" x14ac:dyDescent="0.25">
      <c r="A68" s="1">
        <v>61</v>
      </c>
      <c r="B68" s="1" t="s">
        <v>1</v>
      </c>
      <c r="C68" s="2" t="s">
        <v>29</v>
      </c>
    </row>
    <row r="69" spans="1:3" x14ac:dyDescent="0.25">
      <c r="A69" s="1">
        <v>62</v>
      </c>
      <c r="B69" s="1" t="s">
        <v>1</v>
      </c>
      <c r="C69" s="2" t="s">
        <v>19</v>
      </c>
    </row>
    <row r="70" spans="1:3" x14ac:dyDescent="0.25">
      <c r="A70" s="1">
        <v>63</v>
      </c>
      <c r="B70" s="1" t="s">
        <v>1</v>
      </c>
      <c r="C70" s="2" t="s">
        <v>18</v>
      </c>
    </row>
    <row r="71" spans="1:3" x14ac:dyDescent="0.25">
      <c r="A71" s="1">
        <v>64</v>
      </c>
      <c r="B71" s="1" t="s">
        <v>1</v>
      </c>
      <c r="C71" s="2" t="s">
        <v>17</v>
      </c>
    </row>
    <row r="72" spans="1:3" x14ac:dyDescent="0.25">
      <c r="A72" s="1">
        <v>65</v>
      </c>
      <c r="B72" s="1" t="s">
        <v>1</v>
      </c>
      <c r="C72" s="2" t="s">
        <v>2</v>
      </c>
    </row>
    <row r="73" spans="1:3" x14ac:dyDescent="0.25">
      <c r="A73" s="1">
        <v>66</v>
      </c>
      <c r="B73" s="1" t="s">
        <v>1</v>
      </c>
      <c r="C73" s="2" t="s">
        <v>16</v>
      </c>
    </row>
    <row r="74" spans="1:3" x14ac:dyDescent="0.25">
      <c r="A74" s="1">
        <v>67</v>
      </c>
      <c r="B74" s="1" t="s">
        <v>1</v>
      </c>
      <c r="C74" s="2" t="s">
        <v>15</v>
      </c>
    </row>
    <row r="75" spans="1:3" x14ac:dyDescent="0.25">
      <c r="A75" s="1">
        <v>68</v>
      </c>
      <c r="B75" s="1" t="s">
        <v>1</v>
      </c>
      <c r="C75" s="2" t="s">
        <v>14</v>
      </c>
    </row>
    <row r="76" spans="1:3" x14ac:dyDescent="0.25">
      <c r="A76" s="1">
        <v>69</v>
      </c>
      <c r="B76" s="1" t="s">
        <v>1</v>
      </c>
      <c r="C76" s="2" t="s">
        <v>13</v>
      </c>
    </row>
    <row r="77" spans="1:3" x14ac:dyDescent="0.25">
      <c r="A77" s="1">
        <v>70</v>
      </c>
      <c r="B77" s="1" t="s">
        <v>1</v>
      </c>
      <c r="C77" s="2" t="s">
        <v>12</v>
      </c>
    </row>
    <row r="78" spans="1:3" x14ac:dyDescent="0.25">
      <c r="A78" s="1">
        <v>71</v>
      </c>
      <c r="B78" s="1" t="s">
        <v>1</v>
      </c>
      <c r="C78" s="2" t="s">
        <v>11</v>
      </c>
    </row>
    <row r="79" spans="1:3" x14ac:dyDescent="0.25">
      <c r="A79" s="1">
        <v>72</v>
      </c>
      <c r="B79" s="1" t="s">
        <v>1</v>
      </c>
      <c r="C79" s="2" t="s">
        <v>10</v>
      </c>
    </row>
    <row r="80" spans="1:3" x14ac:dyDescent="0.25">
      <c r="A80" s="1">
        <v>73</v>
      </c>
      <c r="B80" s="1" t="s">
        <v>1</v>
      </c>
      <c r="C80" s="2" t="s">
        <v>2</v>
      </c>
    </row>
    <row r="81" spans="1:3" x14ac:dyDescent="0.25">
      <c r="A81" s="1">
        <v>74</v>
      </c>
      <c r="B81" s="1" t="s">
        <v>1</v>
      </c>
      <c r="C81" s="2" t="s">
        <v>9</v>
      </c>
    </row>
    <row r="82" spans="1:3" x14ac:dyDescent="0.25">
      <c r="A82" s="1">
        <v>75</v>
      </c>
      <c r="B82" s="1" t="s">
        <v>1</v>
      </c>
      <c r="C82" s="2" t="s">
        <v>8</v>
      </c>
    </row>
    <row r="83" spans="1:3" x14ac:dyDescent="0.25">
      <c r="A83" s="1">
        <v>76</v>
      </c>
      <c r="B83" s="1" t="s">
        <v>1</v>
      </c>
      <c r="C83" s="2" t="s">
        <v>7</v>
      </c>
    </row>
    <row r="84" spans="1:3" x14ac:dyDescent="0.25">
      <c r="A84" s="1">
        <v>77</v>
      </c>
      <c r="B84" s="1" t="s">
        <v>1</v>
      </c>
      <c r="C84" s="2" t="s">
        <v>6</v>
      </c>
    </row>
    <row r="85" spans="1:3" x14ac:dyDescent="0.25">
      <c r="A85" s="1">
        <v>78</v>
      </c>
      <c r="B85" s="1" t="s">
        <v>1</v>
      </c>
      <c r="C85" s="2" t="s">
        <v>5</v>
      </c>
    </row>
    <row r="86" spans="1:3" x14ac:dyDescent="0.25">
      <c r="A86" s="1">
        <v>79</v>
      </c>
      <c r="B86" s="1" t="s">
        <v>1</v>
      </c>
      <c r="C86" s="2" t="s">
        <v>4</v>
      </c>
    </row>
    <row r="87" spans="1:3" x14ac:dyDescent="0.25">
      <c r="A87" s="1">
        <v>80</v>
      </c>
      <c r="B87" s="1" t="s">
        <v>1</v>
      </c>
      <c r="C87" s="2" t="s">
        <v>3</v>
      </c>
    </row>
    <row r="88" spans="1:3" x14ac:dyDescent="0.25">
      <c r="A88" s="1">
        <v>81</v>
      </c>
      <c r="B88" s="1" t="s">
        <v>1</v>
      </c>
      <c r="C88" s="2" t="s">
        <v>2</v>
      </c>
    </row>
    <row r="89" spans="1:3" x14ac:dyDescent="0.25">
      <c r="A89" s="1">
        <v>82</v>
      </c>
      <c r="B89" s="1" t="s">
        <v>1</v>
      </c>
      <c r="C89" s="2" t="s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BFBC9-8D2C-4A34-A3ED-23C04DD5C4FC}">
  <sheetPr codeName="Sheet8"/>
  <dimension ref="A1:D104"/>
  <sheetViews>
    <sheetView topLeftCell="A29" workbookViewId="0">
      <selection activeCell="C50" sqref="C50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173</v>
      </c>
      <c r="B1" s="5"/>
      <c r="C1" s="5"/>
      <c r="D1" s="12"/>
    </row>
    <row r="2" spans="1:4" x14ac:dyDescent="0.25">
      <c r="A2" s="1" t="s">
        <v>156</v>
      </c>
      <c r="B2" s="1" t="s">
        <v>1</v>
      </c>
      <c r="C2" s="2" t="s">
        <v>155</v>
      </c>
    </row>
    <row r="3" spans="1:4" x14ac:dyDescent="0.25">
      <c r="A3" s="1" t="s">
        <v>154</v>
      </c>
      <c r="B3" s="1" t="s">
        <v>1</v>
      </c>
      <c r="C3" s="2">
        <v>0</v>
      </c>
    </row>
    <row r="4" spans="1:4" x14ac:dyDescent="0.25">
      <c r="A4" s="1" t="s">
        <v>153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152</v>
      </c>
      <c r="B5" s="1" t="s">
        <v>1</v>
      </c>
      <c r="C5" s="2" t="s">
        <v>780</v>
      </c>
    </row>
    <row r="6" spans="1:4" x14ac:dyDescent="0.25">
      <c r="A6" s="1" t="s">
        <v>151</v>
      </c>
      <c r="B6" s="1" t="s">
        <v>1</v>
      </c>
      <c r="C6" s="2" t="s">
        <v>783</v>
      </c>
    </row>
    <row r="7" spans="1:4" x14ac:dyDescent="0.25">
      <c r="A7" s="1" t="s">
        <v>150</v>
      </c>
      <c r="B7" s="1" t="s">
        <v>1</v>
      </c>
      <c r="C7" s="2" t="s">
        <v>781</v>
      </c>
    </row>
    <row r="8" spans="1:4" x14ac:dyDescent="0.25">
      <c r="A8" s="1" t="s">
        <v>149</v>
      </c>
      <c r="B8" s="1" t="s">
        <v>1</v>
      </c>
      <c r="C8" s="2" t="s">
        <v>782</v>
      </c>
    </row>
    <row r="9" spans="1:4" x14ac:dyDescent="0.25">
      <c r="A9" s="1" t="s">
        <v>148</v>
      </c>
      <c r="B9" s="1" t="s">
        <v>1</v>
      </c>
      <c r="C9" s="2" t="s">
        <v>793</v>
      </c>
    </row>
    <row r="10" spans="1:4" x14ac:dyDescent="0.25">
      <c r="A10" s="1" t="s">
        <v>147</v>
      </c>
      <c r="B10" s="1" t="s">
        <v>1</v>
      </c>
      <c r="C10" s="2" t="s">
        <v>789</v>
      </c>
    </row>
    <row r="11" spans="1:4" x14ac:dyDescent="0.25">
      <c r="A11" s="1" t="s">
        <v>146</v>
      </c>
      <c r="B11" s="1" t="s">
        <v>1</v>
      </c>
      <c r="C11" s="2" t="s">
        <v>784</v>
      </c>
    </row>
    <row r="12" spans="1:4" x14ac:dyDescent="0.25">
      <c r="A12" s="1" t="s">
        <v>145</v>
      </c>
      <c r="B12" s="1" t="s">
        <v>1</v>
      </c>
      <c r="C12" s="2" t="s">
        <v>785</v>
      </c>
    </row>
    <row r="13" spans="1:4" x14ac:dyDescent="0.25">
      <c r="A13" s="1" t="s">
        <v>144</v>
      </c>
      <c r="B13" s="1" t="s">
        <v>1</v>
      </c>
      <c r="C13" s="2" t="s">
        <v>794</v>
      </c>
    </row>
    <row r="14" spans="1:4" x14ac:dyDescent="0.25">
      <c r="A14" s="1" t="s">
        <v>143</v>
      </c>
      <c r="B14" s="1" t="s">
        <v>1</v>
      </c>
      <c r="C14" s="2" t="s">
        <v>788</v>
      </c>
    </row>
    <row r="15" spans="1:4" x14ac:dyDescent="0.25">
      <c r="A15" s="1" t="s">
        <v>142</v>
      </c>
      <c r="B15" s="1" t="s">
        <v>1</v>
      </c>
      <c r="C15" s="2" t="s">
        <v>786</v>
      </c>
    </row>
    <row r="16" spans="1:4" x14ac:dyDescent="0.25">
      <c r="A16" s="1" t="s">
        <v>141</v>
      </c>
      <c r="B16" s="1" t="s">
        <v>1</v>
      </c>
      <c r="C16" s="2" t="s">
        <v>787</v>
      </c>
    </row>
    <row r="17" spans="1:3" x14ac:dyDescent="0.25">
      <c r="A17" s="1" t="s">
        <v>140</v>
      </c>
      <c r="B17" s="1" t="s">
        <v>1</v>
      </c>
      <c r="C17" s="2" t="s">
        <v>792</v>
      </c>
    </row>
    <row r="18" spans="1:3" x14ac:dyDescent="0.25">
      <c r="A18" s="1" t="s">
        <v>139</v>
      </c>
      <c r="B18" s="1" t="s">
        <v>1</v>
      </c>
      <c r="C18" s="2" t="s">
        <v>795</v>
      </c>
    </row>
    <row r="19" spans="1:3" x14ac:dyDescent="0.25">
      <c r="A19" s="1" t="s">
        <v>138</v>
      </c>
      <c r="B19" s="1" t="s">
        <v>1</v>
      </c>
      <c r="C19" s="2" t="s">
        <v>790</v>
      </c>
    </row>
    <row r="20" spans="1:3" x14ac:dyDescent="0.25">
      <c r="A20" s="1" t="s">
        <v>137</v>
      </c>
      <c r="B20" s="1" t="s">
        <v>1</v>
      </c>
      <c r="C20" s="2" t="s">
        <v>791</v>
      </c>
    </row>
    <row r="21" spans="1:3" x14ac:dyDescent="0.25">
      <c r="A21" s="1" t="s">
        <v>136</v>
      </c>
      <c r="B21" s="1" t="s">
        <v>1</v>
      </c>
      <c r="C21" s="2" t="s">
        <v>796</v>
      </c>
    </row>
    <row r="22" spans="1:3" x14ac:dyDescent="0.25">
      <c r="A22" s="1" t="s">
        <v>135</v>
      </c>
      <c r="B22" s="1" t="s">
        <v>1</v>
      </c>
      <c r="C22" s="2" t="s">
        <v>797</v>
      </c>
    </row>
    <row r="23" spans="1:3" x14ac:dyDescent="0.25">
      <c r="A23" s="1" t="s">
        <v>134</v>
      </c>
      <c r="B23" s="1" t="s">
        <v>1</v>
      </c>
      <c r="C23" s="2" t="s">
        <v>798</v>
      </c>
    </row>
    <row r="24" spans="1:3" x14ac:dyDescent="0.25">
      <c r="A24" s="1" t="s">
        <v>133</v>
      </c>
      <c r="B24" s="1" t="s">
        <v>1</v>
      </c>
      <c r="C24" s="2" t="s">
        <v>799</v>
      </c>
    </row>
    <row r="25" spans="1:3" x14ac:dyDescent="0.25">
      <c r="A25" s="1" t="s">
        <v>132</v>
      </c>
      <c r="B25" s="1" t="s">
        <v>1</v>
      </c>
      <c r="C25" s="2" t="s">
        <v>800</v>
      </c>
    </row>
    <row r="26" spans="1:3" x14ac:dyDescent="0.25">
      <c r="A26" s="1" t="s">
        <v>131</v>
      </c>
      <c r="B26" s="1" t="s">
        <v>1</v>
      </c>
      <c r="C26" s="2" t="s">
        <v>801</v>
      </c>
    </row>
    <row r="27" spans="1:3" x14ac:dyDescent="0.25">
      <c r="A27" s="1" t="s">
        <v>130</v>
      </c>
      <c r="B27" s="1" t="s">
        <v>1</v>
      </c>
      <c r="C27" s="2" t="s">
        <v>802</v>
      </c>
    </row>
    <row r="28" spans="1:3" x14ac:dyDescent="0.25">
      <c r="A28" s="1" t="s">
        <v>129</v>
      </c>
      <c r="B28" s="1" t="s">
        <v>1</v>
      </c>
      <c r="C28" s="2" t="s">
        <v>803</v>
      </c>
    </row>
    <row r="29" spans="1:3" x14ac:dyDescent="0.25">
      <c r="A29" s="1" t="s">
        <v>128</v>
      </c>
      <c r="B29" s="1" t="s">
        <v>1</v>
      </c>
      <c r="C29" s="2" t="s">
        <v>804</v>
      </c>
    </row>
    <row r="30" spans="1:3" x14ac:dyDescent="0.25">
      <c r="A30" s="1" t="s">
        <v>127</v>
      </c>
      <c r="B30" s="1" t="s">
        <v>1</v>
      </c>
      <c r="C30" s="2" t="s">
        <v>805</v>
      </c>
    </row>
    <row r="31" spans="1:3" x14ac:dyDescent="0.25">
      <c r="A31" s="1" t="s">
        <v>126</v>
      </c>
      <c r="B31" s="1" t="s">
        <v>1</v>
      </c>
      <c r="C31" s="2" t="s">
        <v>806</v>
      </c>
    </row>
    <row r="32" spans="1:3" x14ac:dyDescent="0.25">
      <c r="A32" s="1" t="s">
        <v>125</v>
      </c>
      <c r="B32" s="1" t="s">
        <v>1</v>
      </c>
      <c r="C32" s="2" t="s">
        <v>807</v>
      </c>
    </row>
    <row r="33" spans="1:3" x14ac:dyDescent="0.25">
      <c r="A33" s="1" t="s">
        <v>124</v>
      </c>
      <c r="B33" s="1" t="s">
        <v>1</v>
      </c>
      <c r="C33" s="2" t="s">
        <v>808</v>
      </c>
    </row>
    <row r="34" spans="1:3" x14ac:dyDescent="0.25">
      <c r="A34" s="1" t="s">
        <v>123</v>
      </c>
      <c r="B34" s="1" t="s">
        <v>1</v>
      </c>
      <c r="C34" s="2" t="s">
        <v>808</v>
      </c>
    </row>
    <row r="35" spans="1:3" x14ac:dyDescent="0.25">
      <c r="A35" s="1" t="s">
        <v>665</v>
      </c>
      <c r="B35" s="1" t="s">
        <v>1</v>
      </c>
      <c r="C35" s="2" t="s">
        <v>826</v>
      </c>
    </row>
    <row r="36" spans="1:3" x14ac:dyDescent="0.25">
      <c r="A36" s="1" t="s">
        <v>666</v>
      </c>
      <c r="B36" s="1" t="s">
        <v>1</v>
      </c>
      <c r="C36" s="2" t="s">
        <v>825</v>
      </c>
    </row>
    <row r="37" spans="1:3" x14ac:dyDescent="0.25">
      <c r="A37" s="1" t="s">
        <v>667</v>
      </c>
      <c r="B37" s="1" t="s">
        <v>1</v>
      </c>
      <c r="C37" s="2" t="s">
        <v>827</v>
      </c>
    </row>
    <row r="38" spans="1:3" x14ac:dyDescent="0.25">
      <c r="A38" s="1" t="s">
        <v>668</v>
      </c>
      <c r="B38" s="1" t="s">
        <v>1</v>
      </c>
      <c r="C38" s="2" t="s">
        <v>828</v>
      </c>
    </row>
    <row r="39" spans="1:3" x14ac:dyDescent="0.25">
      <c r="A39" s="1" t="s">
        <v>669</v>
      </c>
      <c r="B39" s="1" t="s">
        <v>1</v>
      </c>
      <c r="C39" s="2" t="s">
        <v>829</v>
      </c>
    </row>
    <row r="40" spans="1:3" x14ac:dyDescent="0.25">
      <c r="A40" s="1" t="s">
        <v>810</v>
      </c>
      <c r="B40" s="1" t="s">
        <v>1</v>
      </c>
      <c r="C40" s="2" t="s">
        <v>830</v>
      </c>
    </row>
    <row r="41" spans="1:3" x14ac:dyDescent="0.25">
      <c r="A41" s="1" t="s">
        <v>811</v>
      </c>
      <c r="B41" s="1" t="s">
        <v>1</v>
      </c>
      <c r="C41" s="2" t="s">
        <v>831</v>
      </c>
    </row>
    <row r="42" spans="1:3" x14ac:dyDescent="0.25">
      <c r="A42" s="1" t="s">
        <v>812</v>
      </c>
      <c r="B42" s="1" t="s">
        <v>1</v>
      </c>
      <c r="C42" s="2" t="s">
        <v>832</v>
      </c>
    </row>
    <row r="43" spans="1:3" x14ac:dyDescent="0.25">
      <c r="A43" s="1" t="s">
        <v>813</v>
      </c>
      <c r="B43" s="1" t="s">
        <v>1</v>
      </c>
      <c r="C43" s="2" t="s">
        <v>834</v>
      </c>
    </row>
    <row r="44" spans="1:3" x14ac:dyDescent="0.25">
      <c r="A44" s="1" t="s">
        <v>814</v>
      </c>
      <c r="B44" s="1" t="s">
        <v>1</v>
      </c>
      <c r="C44" s="2" t="s">
        <v>833</v>
      </c>
    </row>
    <row r="45" spans="1:3" x14ac:dyDescent="0.25">
      <c r="A45" s="1" t="s">
        <v>815</v>
      </c>
      <c r="B45" s="1" t="s">
        <v>1</v>
      </c>
      <c r="C45" s="2" t="s">
        <v>835</v>
      </c>
    </row>
    <row r="46" spans="1:3" x14ac:dyDescent="0.25">
      <c r="A46" s="1" t="s">
        <v>816</v>
      </c>
      <c r="B46" s="1" t="s">
        <v>1</v>
      </c>
      <c r="C46" s="1" t="s">
        <v>836</v>
      </c>
    </row>
    <row r="47" spans="1:3" x14ac:dyDescent="0.25">
      <c r="A47" s="1" t="s">
        <v>817</v>
      </c>
      <c r="B47" s="1" t="s">
        <v>1</v>
      </c>
      <c r="C47" s="2" t="s">
        <v>837</v>
      </c>
    </row>
    <row r="48" spans="1:3" x14ac:dyDescent="0.25">
      <c r="A48" s="1" t="s">
        <v>818</v>
      </c>
      <c r="B48" s="1" t="s">
        <v>1</v>
      </c>
      <c r="C48" s="2" t="s">
        <v>948</v>
      </c>
    </row>
    <row r="49" spans="1:4" x14ac:dyDescent="0.25">
      <c r="A49" s="1" t="s">
        <v>819</v>
      </c>
      <c r="B49" s="1" t="s">
        <v>1</v>
      </c>
      <c r="C49" s="2" t="s">
        <v>946</v>
      </c>
    </row>
    <row r="50" spans="1:4" x14ac:dyDescent="0.25">
      <c r="A50" s="1" t="s">
        <v>820</v>
      </c>
      <c r="B50" s="1" t="s">
        <v>1</v>
      </c>
      <c r="C50" s="2" t="s">
        <v>947</v>
      </c>
    </row>
    <row r="51" spans="1:4" x14ac:dyDescent="0.25">
      <c r="A51" s="1" t="s">
        <v>821</v>
      </c>
      <c r="B51" s="1" t="s">
        <v>1</v>
      </c>
      <c r="C51" s="2" t="s">
        <v>838</v>
      </c>
    </row>
    <row r="52" spans="1:4" x14ac:dyDescent="0.25">
      <c r="A52" s="1" t="s">
        <v>822</v>
      </c>
      <c r="B52" s="1" t="s">
        <v>1</v>
      </c>
      <c r="C52" s="2" t="s">
        <v>839</v>
      </c>
    </row>
    <row r="53" spans="1:4" x14ac:dyDescent="0.25">
      <c r="A53" s="1" t="s">
        <v>823</v>
      </c>
      <c r="B53" s="1" t="s">
        <v>1</v>
      </c>
      <c r="C53" s="2" t="s">
        <v>840</v>
      </c>
    </row>
    <row r="54" spans="1:4" x14ac:dyDescent="0.25">
      <c r="A54" s="1" t="s">
        <v>824</v>
      </c>
      <c r="B54" s="1" t="s">
        <v>1</v>
      </c>
      <c r="C54" s="2" t="s">
        <v>841</v>
      </c>
    </row>
    <row r="55" spans="1:4" x14ac:dyDescent="0.25">
      <c r="A55" s="1" t="s">
        <v>122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121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120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119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118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117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116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115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114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113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112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111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110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109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108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107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106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105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104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103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102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101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100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99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98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97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96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95</v>
      </c>
      <c r="B82" s="1" t="s">
        <v>1</v>
      </c>
      <c r="C82" s="2" t="str">
        <f>".equ PostShiftA,                " &amp; D82</f>
        <v>.equ PostShiftA,                54</v>
      </c>
      <c r="D82" s="13">
        <v>54</v>
      </c>
    </row>
    <row r="83" spans="1:4" x14ac:dyDescent="0.25">
      <c r="A83" s="1" t="s">
        <v>94</v>
      </c>
      <c r="B83" s="1" t="s">
        <v>1</v>
      </c>
      <c r="C83" s="2" t="str">
        <f>".equ PostShiftB,                " &amp; D83</f>
        <v>.equ PostShiftB,                56</v>
      </c>
      <c r="D83" s="13">
        <v>56</v>
      </c>
    </row>
    <row r="84" spans="1:4" x14ac:dyDescent="0.25">
      <c r="A84" s="1" t="s">
        <v>93</v>
      </c>
      <c r="B84" s="1" t="s">
        <v>1</v>
      </c>
      <c r="C84" s="2" t="str">
        <f>".equ reserved_2,                " &amp; D84</f>
        <v>.equ reserved_2,                58</v>
      </c>
      <c r="D84" s="13">
        <v>58</v>
      </c>
    </row>
    <row r="85" spans="1:4" x14ac:dyDescent="0.25">
      <c r="A85" s="1" t="s">
        <v>660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661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662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663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664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766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767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768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769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770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771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772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773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774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775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776</v>
      </c>
      <c r="B100" s="1" t="s">
        <v>1</v>
      </c>
      <c r="C100" s="1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777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778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779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842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0EA4F-CF81-4FA3-8B4A-C2416A58C6B2}">
  <sheetPr codeName="Sheet7"/>
  <dimension ref="A1:C94"/>
  <sheetViews>
    <sheetView topLeftCell="A33" zoomScale="115" zoomScaleNormal="115" workbookViewId="0">
      <selection activeCell="C46" sqref="C46"/>
    </sheetView>
  </sheetViews>
  <sheetFormatPr defaultRowHeight="15" x14ac:dyDescent="0.25"/>
  <cols>
    <col min="1" max="1" width="14.28515625" style="1" customWidth="1"/>
    <col min="2" max="2" width="2.7109375" style="1" customWidth="1"/>
    <col min="3" max="3" width="52.85546875" style="1" bestFit="1" customWidth="1"/>
  </cols>
  <sheetData>
    <row r="1" spans="1:3" s="7" customFormat="1" ht="15.75" x14ac:dyDescent="0.3">
      <c r="A1" s="5" t="s">
        <v>172</v>
      </c>
      <c r="B1" s="5"/>
      <c r="C1" s="5"/>
    </row>
    <row r="2" spans="1:3" x14ac:dyDescent="0.25">
      <c r="A2" s="1" t="s">
        <v>171</v>
      </c>
      <c r="C2" s="2"/>
    </row>
    <row r="3" spans="1:3" x14ac:dyDescent="0.25">
      <c r="A3" s="1" t="s">
        <v>160</v>
      </c>
      <c r="C3" s="2"/>
    </row>
    <row r="4" spans="1:3" x14ac:dyDescent="0.25">
      <c r="A4" s="1" t="s">
        <v>80</v>
      </c>
      <c r="B4" s="1" t="s">
        <v>1</v>
      </c>
      <c r="C4" s="2" t="s">
        <v>79</v>
      </c>
    </row>
    <row r="5" spans="1:3" x14ac:dyDescent="0.25">
      <c r="A5" s="1" t="s">
        <v>78</v>
      </c>
      <c r="B5" s="1" t="s">
        <v>1</v>
      </c>
      <c r="C5" s="2" t="s">
        <v>170</v>
      </c>
    </row>
    <row r="6" spans="1:3" x14ac:dyDescent="0.25">
      <c r="A6" s="1" t="s">
        <v>76</v>
      </c>
      <c r="B6" s="1" t="s">
        <v>1</v>
      </c>
      <c r="C6" s="9">
        <f>COUNTA(A:A)-6</f>
        <v>88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169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x14ac:dyDescent="0.25">
      <c r="A13" s="1">
        <v>6</v>
      </c>
      <c r="B13" s="1" t="s">
        <v>1</v>
      </c>
      <c r="C13" s="2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64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57</v>
      </c>
    </row>
    <row r="28" spans="1:3" x14ac:dyDescent="0.25">
      <c r="A28" s="1">
        <v>21</v>
      </c>
      <c r="B28" s="1" t="s">
        <v>1</v>
      </c>
      <c r="C28" s="2" t="s">
        <v>56</v>
      </c>
    </row>
    <row r="29" spans="1:3" x14ac:dyDescent="0.25">
      <c r="A29" s="1">
        <v>22</v>
      </c>
      <c r="B29" s="1" t="s">
        <v>1</v>
      </c>
      <c r="C29" s="2" t="s">
        <v>42</v>
      </c>
    </row>
    <row r="30" spans="1:3" x14ac:dyDescent="0.25">
      <c r="A30" s="1">
        <v>23</v>
      </c>
      <c r="B30" s="1" t="s">
        <v>1</v>
      </c>
      <c r="C30" s="2" t="s">
        <v>41</v>
      </c>
    </row>
    <row r="31" spans="1:3" x14ac:dyDescent="0.25">
      <c r="A31" s="1">
        <v>24</v>
      </c>
      <c r="B31" s="1" t="s">
        <v>1</v>
      </c>
      <c r="C31" s="2" t="s">
        <v>53</v>
      </c>
    </row>
    <row r="32" spans="1:3" x14ac:dyDescent="0.25">
      <c r="A32" s="1">
        <v>25</v>
      </c>
      <c r="B32" s="1" t="s">
        <v>1</v>
      </c>
      <c r="C32" s="2" t="s">
        <v>52</v>
      </c>
    </row>
    <row r="33" spans="1:3" x14ac:dyDescent="0.25">
      <c r="A33" s="1">
        <v>26</v>
      </c>
      <c r="B33" s="1" t="s">
        <v>1</v>
      </c>
      <c r="C33" s="2" t="s">
        <v>51</v>
      </c>
    </row>
    <row r="34" spans="1:3" x14ac:dyDescent="0.25">
      <c r="A34" s="1">
        <v>27</v>
      </c>
      <c r="B34" s="1" t="s">
        <v>1</v>
      </c>
      <c r="C34" s="2" t="s">
        <v>50</v>
      </c>
    </row>
    <row r="35" spans="1:3" x14ac:dyDescent="0.25">
      <c r="A35" s="1">
        <v>28</v>
      </c>
      <c r="B35" s="1" t="s">
        <v>1</v>
      </c>
      <c r="C35" s="2" t="s">
        <v>49</v>
      </c>
    </row>
    <row r="36" spans="1:3" x14ac:dyDescent="0.25">
      <c r="A36" s="1">
        <v>29</v>
      </c>
      <c r="B36" s="1" t="s">
        <v>1</v>
      </c>
      <c r="C36" s="2" t="s">
        <v>48</v>
      </c>
    </row>
    <row r="37" spans="1:3" x14ac:dyDescent="0.25">
      <c r="A37" s="1">
        <v>30</v>
      </c>
      <c r="B37" s="1" t="s">
        <v>1</v>
      </c>
      <c r="C37" s="2" t="s">
        <v>47</v>
      </c>
    </row>
    <row r="38" spans="1:3" x14ac:dyDescent="0.25">
      <c r="A38" s="1">
        <v>31</v>
      </c>
      <c r="B38" s="1" t="s">
        <v>1</v>
      </c>
      <c r="C38" s="2" t="s">
        <v>46</v>
      </c>
    </row>
    <row r="39" spans="1:3" x14ac:dyDescent="0.25">
      <c r="A39" s="1">
        <v>32</v>
      </c>
      <c r="B39" s="1" t="s">
        <v>1</v>
      </c>
      <c r="C39" s="2" t="s">
        <v>55</v>
      </c>
    </row>
    <row r="40" spans="1:3" x14ac:dyDescent="0.25">
      <c r="A40" s="1">
        <v>33</v>
      </c>
      <c r="B40" s="1" t="s">
        <v>1</v>
      </c>
      <c r="C40" s="2" t="s">
        <v>54</v>
      </c>
    </row>
    <row r="41" spans="1:3" x14ac:dyDescent="0.25">
      <c r="A41" s="1">
        <v>34</v>
      </c>
      <c r="B41" s="1" t="s">
        <v>1</v>
      </c>
      <c r="C41" s="2" t="s">
        <v>45</v>
      </c>
    </row>
    <row r="42" spans="1:3" x14ac:dyDescent="0.25">
      <c r="A42" s="1">
        <v>35</v>
      </c>
      <c r="B42" s="1" t="s">
        <v>1</v>
      </c>
      <c r="C42" s="2" t="s">
        <v>168</v>
      </c>
    </row>
    <row r="43" spans="1:3" x14ac:dyDescent="0.25">
      <c r="A43" s="1">
        <v>36</v>
      </c>
      <c r="B43" s="1" t="s">
        <v>1</v>
      </c>
      <c r="C43" s="2" t="s">
        <v>167</v>
      </c>
    </row>
    <row r="44" spans="1:3" x14ac:dyDescent="0.25">
      <c r="A44" s="1">
        <v>37</v>
      </c>
      <c r="B44" s="1" t="s">
        <v>1</v>
      </c>
      <c r="C44" s="2" t="s">
        <v>166</v>
      </c>
    </row>
    <row r="45" spans="1:3" x14ac:dyDescent="0.25">
      <c r="A45" s="1">
        <v>38</v>
      </c>
      <c r="B45" s="1" t="s">
        <v>1</v>
      </c>
      <c r="C45" s="1" t="s">
        <v>731</v>
      </c>
    </row>
    <row r="46" spans="1:3" x14ac:dyDescent="0.25">
      <c r="A46" s="1">
        <v>39</v>
      </c>
      <c r="B46" s="1" t="s">
        <v>1</v>
      </c>
      <c r="C46" s="1" t="s">
        <v>732</v>
      </c>
    </row>
    <row r="47" spans="1:3" x14ac:dyDescent="0.25">
      <c r="A47" s="1">
        <v>40</v>
      </c>
      <c r="B47" s="1" t="s">
        <v>1</v>
      </c>
      <c r="C47" s="1" t="s">
        <v>734</v>
      </c>
    </row>
    <row r="48" spans="1:3" x14ac:dyDescent="0.25">
      <c r="A48" s="1">
        <v>41</v>
      </c>
      <c r="B48" s="1" t="s">
        <v>1</v>
      </c>
      <c r="C48" s="1" t="s">
        <v>735</v>
      </c>
    </row>
    <row r="49" spans="1:3" x14ac:dyDescent="0.25">
      <c r="A49" s="1">
        <v>42</v>
      </c>
      <c r="B49" s="1" t="s">
        <v>1</v>
      </c>
      <c r="C49" s="1" t="s">
        <v>733</v>
      </c>
    </row>
    <row r="50" spans="1:3" x14ac:dyDescent="0.25">
      <c r="A50" s="1">
        <v>43</v>
      </c>
      <c r="B50" s="1" t="s">
        <v>1</v>
      </c>
      <c r="C50" s="2" t="s">
        <v>165</v>
      </c>
    </row>
    <row r="51" spans="1:3" x14ac:dyDescent="0.25">
      <c r="A51" s="1">
        <v>44</v>
      </c>
      <c r="B51" s="1" t="s">
        <v>1</v>
      </c>
      <c r="C51" s="2" t="s">
        <v>164</v>
      </c>
    </row>
    <row r="52" spans="1:3" x14ac:dyDescent="0.25">
      <c r="A52" s="1">
        <v>45</v>
      </c>
      <c r="B52" s="1" t="s">
        <v>1</v>
      </c>
      <c r="C52" s="2" t="s">
        <v>40</v>
      </c>
    </row>
    <row r="53" spans="1:3" x14ac:dyDescent="0.25">
      <c r="A53" s="1">
        <v>46</v>
      </c>
      <c r="B53" s="1" t="s">
        <v>1</v>
      </c>
      <c r="C53" s="2" t="s">
        <v>39</v>
      </c>
    </row>
    <row r="54" spans="1:3" x14ac:dyDescent="0.25">
      <c r="A54" s="1">
        <v>47</v>
      </c>
      <c r="B54" s="1" t="s">
        <v>1</v>
      </c>
      <c r="C54" s="2" t="s">
        <v>38</v>
      </c>
    </row>
    <row r="55" spans="1:3" x14ac:dyDescent="0.25">
      <c r="A55" s="1">
        <v>48</v>
      </c>
      <c r="B55" s="1" t="s">
        <v>1</v>
      </c>
      <c r="C55" s="2" t="s">
        <v>37</v>
      </c>
    </row>
    <row r="56" spans="1:3" x14ac:dyDescent="0.25">
      <c r="A56" s="1">
        <v>49</v>
      </c>
      <c r="B56" s="1" t="s">
        <v>1</v>
      </c>
      <c r="C56" s="2" t="s">
        <v>36</v>
      </c>
    </row>
    <row r="57" spans="1:3" x14ac:dyDescent="0.25">
      <c r="A57" s="1">
        <v>50</v>
      </c>
      <c r="B57" s="1" t="s">
        <v>1</v>
      </c>
      <c r="C57" s="2" t="s">
        <v>35</v>
      </c>
    </row>
    <row r="58" spans="1:3" x14ac:dyDescent="0.25">
      <c r="A58" s="1">
        <v>51</v>
      </c>
      <c r="B58" s="1" t="s">
        <v>1</v>
      </c>
      <c r="C58" s="2" t="s">
        <v>34</v>
      </c>
    </row>
    <row r="59" spans="1:3" x14ac:dyDescent="0.25">
      <c r="A59" s="1">
        <v>52</v>
      </c>
      <c r="B59" s="1" t="s">
        <v>1</v>
      </c>
      <c r="C59" s="2" t="s">
        <v>33</v>
      </c>
    </row>
    <row r="60" spans="1:3" x14ac:dyDescent="0.25">
      <c r="A60" s="1">
        <v>53</v>
      </c>
      <c r="B60" s="1" t="s">
        <v>1</v>
      </c>
      <c r="C60" s="2" t="s">
        <v>32</v>
      </c>
    </row>
    <row r="61" spans="1:3" x14ac:dyDescent="0.25">
      <c r="A61" s="1">
        <v>54</v>
      </c>
      <c r="B61" s="1" t="s">
        <v>1</v>
      </c>
      <c r="C61" s="2" t="s">
        <v>31</v>
      </c>
    </row>
    <row r="62" spans="1:3" x14ac:dyDescent="0.25">
      <c r="A62" s="1">
        <v>55</v>
      </c>
      <c r="B62" s="1" t="s">
        <v>1</v>
      </c>
      <c r="C62" s="2" t="s">
        <v>30</v>
      </c>
    </row>
    <row r="63" spans="1:3" x14ac:dyDescent="0.25">
      <c r="A63" s="1">
        <v>56</v>
      </c>
      <c r="B63" s="1" t="s">
        <v>1</v>
      </c>
      <c r="C63" s="2" t="s">
        <v>28</v>
      </c>
    </row>
    <row r="64" spans="1:3" x14ac:dyDescent="0.25">
      <c r="A64" s="1">
        <v>57</v>
      </c>
      <c r="B64" s="1" t="s">
        <v>1</v>
      </c>
      <c r="C64" s="2" t="s">
        <v>19</v>
      </c>
    </row>
    <row r="65" spans="1:3" x14ac:dyDescent="0.25">
      <c r="A65" s="1">
        <v>58</v>
      </c>
      <c r="B65" s="1" t="s">
        <v>1</v>
      </c>
      <c r="C65" s="2" t="s">
        <v>27</v>
      </c>
    </row>
    <row r="66" spans="1:3" x14ac:dyDescent="0.25">
      <c r="A66" s="1">
        <v>59</v>
      </c>
      <c r="B66" s="1" t="s">
        <v>1</v>
      </c>
      <c r="C66" s="2" t="s">
        <v>26</v>
      </c>
    </row>
    <row r="67" spans="1:3" x14ac:dyDescent="0.25">
      <c r="A67" s="1">
        <v>60</v>
      </c>
      <c r="B67" s="1" t="s">
        <v>1</v>
      </c>
      <c r="C67" s="2" t="s">
        <v>25</v>
      </c>
    </row>
    <row r="68" spans="1:3" x14ac:dyDescent="0.25">
      <c r="A68" s="1">
        <v>61</v>
      </c>
      <c r="B68" s="1" t="s">
        <v>1</v>
      </c>
      <c r="C68" s="2" t="s">
        <v>24</v>
      </c>
    </row>
    <row r="69" spans="1:3" x14ac:dyDescent="0.25">
      <c r="A69" s="1">
        <v>62</v>
      </c>
      <c r="B69" s="1" t="s">
        <v>1</v>
      </c>
      <c r="C69" s="2" t="s">
        <v>23</v>
      </c>
    </row>
    <row r="70" spans="1:3" x14ac:dyDescent="0.25">
      <c r="A70" s="1">
        <v>63</v>
      </c>
      <c r="B70" s="1" t="s">
        <v>1</v>
      </c>
      <c r="C70" s="2" t="s">
        <v>22</v>
      </c>
    </row>
    <row r="71" spans="1:3" x14ac:dyDescent="0.25">
      <c r="A71" s="1">
        <v>64</v>
      </c>
      <c r="B71" s="1" t="s">
        <v>1</v>
      </c>
      <c r="C71" s="2" t="s">
        <v>21</v>
      </c>
    </row>
    <row r="72" spans="1:3" x14ac:dyDescent="0.25">
      <c r="A72" s="1">
        <v>65</v>
      </c>
      <c r="B72" s="1" t="s">
        <v>1</v>
      </c>
      <c r="C72" s="2" t="s">
        <v>20</v>
      </c>
    </row>
    <row r="73" spans="1:3" x14ac:dyDescent="0.25">
      <c r="A73" s="1">
        <v>66</v>
      </c>
      <c r="B73" s="1" t="s">
        <v>1</v>
      </c>
      <c r="C73" s="2" t="s">
        <v>29</v>
      </c>
    </row>
    <row r="74" spans="1:3" x14ac:dyDescent="0.25">
      <c r="A74" s="1">
        <v>67</v>
      </c>
      <c r="B74" s="1" t="s">
        <v>1</v>
      </c>
      <c r="C74" s="2" t="s">
        <v>19</v>
      </c>
    </row>
    <row r="75" spans="1:3" x14ac:dyDescent="0.25">
      <c r="A75" s="1">
        <v>68</v>
      </c>
      <c r="B75" s="1" t="s">
        <v>1</v>
      </c>
      <c r="C75" s="2" t="s">
        <v>18</v>
      </c>
    </row>
    <row r="76" spans="1:3" x14ac:dyDescent="0.25">
      <c r="A76" s="1">
        <v>69</v>
      </c>
      <c r="B76" s="1" t="s">
        <v>1</v>
      </c>
      <c r="C76" s="2" t="s">
        <v>17</v>
      </c>
    </row>
    <row r="77" spans="1:3" x14ac:dyDescent="0.25">
      <c r="A77" s="1">
        <v>70</v>
      </c>
      <c r="B77" s="1" t="s">
        <v>1</v>
      </c>
      <c r="C77" s="2" t="s">
        <v>2</v>
      </c>
    </row>
    <row r="78" spans="1:3" x14ac:dyDescent="0.25">
      <c r="A78" s="1">
        <v>71</v>
      </c>
      <c r="B78" s="1" t="s">
        <v>1</v>
      </c>
      <c r="C78" s="2" t="s">
        <v>16</v>
      </c>
    </row>
    <row r="79" spans="1:3" x14ac:dyDescent="0.25">
      <c r="A79" s="1">
        <v>72</v>
      </c>
      <c r="B79" s="1" t="s">
        <v>1</v>
      </c>
      <c r="C79" s="2" t="s">
        <v>15</v>
      </c>
    </row>
    <row r="80" spans="1:3" x14ac:dyDescent="0.25">
      <c r="A80" s="1">
        <v>73</v>
      </c>
      <c r="B80" s="1" t="s">
        <v>1</v>
      </c>
      <c r="C80" s="2" t="s">
        <v>14</v>
      </c>
    </row>
    <row r="81" spans="1:3" x14ac:dyDescent="0.25">
      <c r="A81" s="1">
        <v>74</v>
      </c>
      <c r="B81" s="1" t="s">
        <v>1</v>
      </c>
      <c r="C81" s="2" t="s">
        <v>13</v>
      </c>
    </row>
    <row r="82" spans="1:3" x14ac:dyDescent="0.25">
      <c r="A82" s="1">
        <v>75</v>
      </c>
      <c r="B82" s="1" t="s">
        <v>1</v>
      </c>
      <c r="C82" s="2" t="s">
        <v>12</v>
      </c>
    </row>
    <row r="83" spans="1:3" x14ac:dyDescent="0.25">
      <c r="A83" s="1">
        <v>76</v>
      </c>
      <c r="B83" s="1" t="s">
        <v>1</v>
      </c>
      <c r="C83" s="2" t="s">
        <v>11</v>
      </c>
    </row>
    <row r="84" spans="1:3" x14ac:dyDescent="0.25">
      <c r="A84" s="1">
        <v>77</v>
      </c>
      <c r="B84" s="1" t="s">
        <v>1</v>
      </c>
      <c r="C84" s="2" t="s">
        <v>10</v>
      </c>
    </row>
    <row r="85" spans="1:3" x14ac:dyDescent="0.25">
      <c r="A85" s="1">
        <v>78</v>
      </c>
      <c r="B85" s="1" t="s">
        <v>1</v>
      </c>
      <c r="C85" s="2" t="s">
        <v>2</v>
      </c>
    </row>
    <row r="86" spans="1:3" x14ac:dyDescent="0.25">
      <c r="A86" s="1">
        <v>79</v>
      </c>
      <c r="B86" s="1" t="s">
        <v>1</v>
      </c>
      <c r="C86" s="2" t="s">
        <v>9</v>
      </c>
    </row>
    <row r="87" spans="1:3" x14ac:dyDescent="0.25">
      <c r="A87" s="1">
        <v>80</v>
      </c>
      <c r="B87" s="1" t="s">
        <v>1</v>
      </c>
      <c r="C87" s="2" t="s">
        <v>8</v>
      </c>
    </row>
    <row r="88" spans="1:3" x14ac:dyDescent="0.25">
      <c r="A88" s="1">
        <v>81</v>
      </c>
      <c r="B88" s="1" t="s">
        <v>1</v>
      </c>
      <c r="C88" s="2" t="s">
        <v>7</v>
      </c>
    </row>
    <row r="89" spans="1:3" x14ac:dyDescent="0.25">
      <c r="A89" s="1">
        <v>82</v>
      </c>
      <c r="B89" s="1" t="s">
        <v>1</v>
      </c>
      <c r="C89" s="2" t="s">
        <v>6</v>
      </c>
    </row>
    <row r="90" spans="1:3" x14ac:dyDescent="0.25">
      <c r="A90" s="1">
        <v>83</v>
      </c>
      <c r="B90" s="1" t="s">
        <v>1</v>
      </c>
      <c r="C90" s="2" t="s">
        <v>5</v>
      </c>
    </row>
    <row r="91" spans="1:3" x14ac:dyDescent="0.25">
      <c r="A91" s="1">
        <v>84</v>
      </c>
      <c r="B91" s="1" t="s">
        <v>1</v>
      </c>
      <c r="C91" s="2" t="s">
        <v>4</v>
      </c>
    </row>
    <row r="92" spans="1:3" x14ac:dyDescent="0.25">
      <c r="A92" s="1">
        <v>85</v>
      </c>
      <c r="B92" s="1" t="s">
        <v>1</v>
      </c>
      <c r="C92" s="2" t="s">
        <v>3</v>
      </c>
    </row>
    <row r="93" spans="1:3" x14ac:dyDescent="0.25">
      <c r="A93" s="1">
        <v>86</v>
      </c>
      <c r="B93" s="1" t="s">
        <v>1</v>
      </c>
      <c r="C93" s="2" t="s">
        <v>2</v>
      </c>
    </row>
    <row r="94" spans="1:3" x14ac:dyDescent="0.25">
      <c r="A94" s="1">
        <v>87</v>
      </c>
      <c r="B94" s="1" t="s">
        <v>1</v>
      </c>
      <c r="C94" s="2" t="s">
        <v>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09DD-5B98-447D-ABB2-3938B605CE25}">
  <sheetPr codeName="Sheet10"/>
  <dimension ref="A1:D104"/>
  <sheetViews>
    <sheetView workbookViewId="0">
      <selection activeCell="C50" sqref="C50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185</v>
      </c>
      <c r="B1" s="5"/>
      <c r="C1" s="5"/>
      <c r="D1" s="12"/>
    </row>
    <row r="2" spans="1:4" x14ac:dyDescent="0.25">
      <c r="A2" s="1" t="s">
        <v>156</v>
      </c>
      <c r="B2" s="1" t="s">
        <v>1</v>
      </c>
      <c r="C2" s="2" t="s">
        <v>155</v>
      </c>
    </row>
    <row r="3" spans="1:4" x14ac:dyDescent="0.25">
      <c r="A3" s="1" t="s">
        <v>154</v>
      </c>
      <c r="B3" s="1" t="s">
        <v>1</v>
      </c>
      <c r="C3" s="2">
        <v>0</v>
      </c>
    </row>
    <row r="4" spans="1:4" x14ac:dyDescent="0.25">
      <c r="A4" s="1" t="s">
        <v>153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152</v>
      </c>
      <c r="B5" s="1" t="s">
        <v>1</v>
      </c>
      <c r="C5" s="2" t="s">
        <v>780</v>
      </c>
    </row>
    <row r="6" spans="1:4" x14ac:dyDescent="0.25">
      <c r="A6" s="1" t="s">
        <v>151</v>
      </c>
      <c r="B6" s="1" t="s">
        <v>1</v>
      </c>
      <c r="C6" s="2" t="s">
        <v>783</v>
      </c>
    </row>
    <row r="7" spans="1:4" x14ac:dyDescent="0.25">
      <c r="A7" s="1" t="s">
        <v>150</v>
      </c>
      <c r="B7" s="1" t="s">
        <v>1</v>
      </c>
      <c r="C7" s="2" t="s">
        <v>781</v>
      </c>
    </row>
    <row r="8" spans="1:4" x14ac:dyDescent="0.25">
      <c r="A8" s="1" t="s">
        <v>149</v>
      </c>
      <c r="B8" s="1" t="s">
        <v>1</v>
      </c>
      <c r="C8" s="2" t="s">
        <v>782</v>
      </c>
    </row>
    <row r="9" spans="1:4" x14ac:dyDescent="0.25">
      <c r="A9" s="1" t="s">
        <v>148</v>
      </c>
      <c r="B9" s="1" t="s">
        <v>1</v>
      </c>
      <c r="C9" s="2" t="s">
        <v>793</v>
      </c>
    </row>
    <row r="10" spans="1:4" x14ac:dyDescent="0.25">
      <c r="A10" s="1" t="s">
        <v>147</v>
      </c>
      <c r="B10" s="1" t="s">
        <v>1</v>
      </c>
      <c r="C10" s="2" t="s">
        <v>789</v>
      </c>
    </row>
    <row r="11" spans="1:4" x14ac:dyDescent="0.25">
      <c r="A11" s="1" t="s">
        <v>146</v>
      </c>
      <c r="B11" s="1" t="s">
        <v>1</v>
      </c>
      <c r="C11" s="2" t="s">
        <v>784</v>
      </c>
    </row>
    <row r="12" spans="1:4" x14ac:dyDescent="0.25">
      <c r="A12" s="1" t="s">
        <v>145</v>
      </c>
      <c r="B12" s="1" t="s">
        <v>1</v>
      </c>
      <c r="C12" s="2" t="s">
        <v>785</v>
      </c>
    </row>
    <row r="13" spans="1:4" x14ac:dyDescent="0.25">
      <c r="A13" s="1" t="s">
        <v>144</v>
      </c>
      <c r="B13" s="1" t="s">
        <v>1</v>
      </c>
      <c r="C13" s="2" t="s">
        <v>794</v>
      </c>
    </row>
    <row r="14" spans="1:4" x14ac:dyDescent="0.25">
      <c r="A14" s="1" t="s">
        <v>143</v>
      </c>
      <c r="B14" s="1" t="s">
        <v>1</v>
      </c>
      <c r="C14" s="2" t="s">
        <v>788</v>
      </c>
    </row>
    <row r="15" spans="1:4" x14ac:dyDescent="0.25">
      <c r="A15" s="1" t="s">
        <v>142</v>
      </c>
      <c r="B15" s="1" t="s">
        <v>1</v>
      </c>
      <c r="C15" s="2" t="s">
        <v>786</v>
      </c>
    </row>
    <row r="16" spans="1:4" x14ac:dyDescent="0.25">
      <c r="A16" s="1" t="s">
        <v>141</v>
      </c>
      <c r="B16" s="1" t="s">
        <v>1</v>
      </c>
      <c r="C16" s="2" t="s">
        <v>787</v>
      </c>
    </row>
    <row r="17" spans="1:3" x14ac:dyDescent="0.25">
      <c r="A17" s="1" t="s">
        <v>140</v>
      </c>
      <c r="B17" s="1" t="s">
        <v>1</v>
      </c>
      <c r="C17" s="2" t="s">
        <v>792</v>
      </c>
    </row>
    <row r="18" spans="1:3" x14ac:dyDescent="0.25">
      <c r="A18" s="1" t="s">
        <v>139</v>
      </c>
      <c r="B18" s="1" t="s">
        <v>1</v>
      </c>
      <c r="C18" s="2" t="s">
        <v>795</v>
      </c>
    </row>
    <row r="19" spans="1:3" x14ac:dyDescent="0.25">
      <c r="A19" s="1" t="s">
        <v>138</v>
      </c>
      <c r="B19" s="1" t="s">
        <v>1</v>
      </c>
      <c r="C19" s="2" t="s">
        <v>790</v>
      </c>
    </row>
    <row r="20" spans="1:3" x14ac:dyDescent="0.25">
      <c r="A20" s="1" t="s">
        <v>137</v>
      </c>
      <c r="B20" s="1" t="s">
        <v>1</v>
      </c>
      <c r="C20" s="2" t="s">
        <v>791</v>
      </c>
    </row>
    <row r="21" spans="1:3" x14ac:dyDescent="0.25">
      <c r="A21" s="1" t="s">
        <v>136</v>
      </c>
      <c r="B21" s="1" t="s">
        <v>1</v>
      </c>
      <c r="C21" s="2" t="s">
        <v>796</v>
      </c>
    </row>
    <row r="22" spans="1:3" x14ac:dyDescent="0.25">
      <c r="A22" s="1" t="s">
        <v>135</v>
      </c>
      <c r="B22" s="1" t="s">
        <v>1</v>
      </c>
      <c r="C22" s="2" t="s">
        <v>797</v>
      </c>
    </row>
    <row r="23" spans="1:3" x14ac:dyDescent="0.25">
      <c r="A23" s="1" t="s">
        <v>134</v>
      </c>
      <c r="B23" s="1" t="s">
        <v>1</v>
      </c>
      <c r="C23" s="2" t="s">
        <v>798</v>
      </c>
    </row>
    <row r="24" spans="1:3" x14ac:dyDescent="0.25">
      <c r="A24" s="1" t="s">
        <v>133</v>
      </c>
      <c r="B24" s="1" t="s">
        <v>1</v>
      </c>
      <c r="C24" s="2" t="s">
        <v>799</v>
      </c>
    </row>
    <row r="25" spans="1:3" x14ac:dyDescent="0.25">
      <c r="A25" s="1" t="s">
        <v>132</v>
      </c>
      <c r="B25" s="1" t="s">
        <v>1</v>
      </c>
      <c r="C25" s="2" t="s">
        <v>800</v>
      </c>
    </row>
    <row r="26" spans="1:3" x14ac:dyDescent="0.25">
      <c r="A26" s="1" t="s">
        <v>131</v>
      </c>
      <c r="B26" s="1" t="s">
        <v>1</v>
      </c>
      <c r="C26" s="2" t="s">
        <v>801</v>
      </c>
    </row>
    <row r="27" spans="1:3" x14ac:dyDescent="0.25">
      <c r="A27" s="1" t="s">
        <v>130</v>
      </c>
      <c r="B27" s="1" t="s">
        <v>1</v>
      </c>
      <c r="C27" s="2" t="s">
        <v>802</v>
      </c>
    </row>
    <row r="28" spans="1:3" x14ac:dyDescent="0.25">
      <c r="A28" s="1" t="s">
        <v>129</v>
      </c>
      <c r="B28" s="1" t="s">
        <v>1</v>
      </c>
      <c r="C28" s="2" t="s">
        <v>803</v>
      </c>
    </row>
    <row r="29" spans="1:3" x14ac:dyDescent="0.25">
      <c r="A29" s="1" t="s">
        <v>128</v>
      </c>
      <c r="B29" s="1" t="s">
        <v>1</v>
      </c>
      <c r="C29" s="2" t="s">
        <v>804</v>
      </c>
    </row>
    <row r="30" spans="1:3" x14ac:dyDescent="0.25">
      <c r="A30" s="1" t="s">
        <v>127</v>
      </c>
      <c r="B30" s="1" t="s">
        <v>1</v>
      </c>
      <c r="C30" s="2" t="s">
        <v>805</v>
      </c>
    </row>
    <row r="31" spans="1:3" x14ac:dyDescent="0.25">
      <c r="A31" s="1" t="s">
        <v>126</v>
      </c>
      <c r="B31" s="1" t="s">
        <v>1</v>
      </c>
      <c r="C31" s="2" t="s">
        <v>806</v>
      </c>
    </row>
    <row r="32" spans="1:3" x14ac:dyDescent="0.25">
      <c r="A32" s="1" t="s">
        <v>125</v>
      </c>
      <c r="B32" s="1" t="s">
        <v>1</v>
      </c>
      <c r="C32" s="2" t="s">
        <v>807</v>
      </c>
    </row>
    <row r="33" spans="1:3" x14ac:dyDescent="0.25">
      <c r="A33" s="1" t="s">
        <v>124</v>
      </c>
      <c r="B33" s="1" t="s">
        <v>1</v>
      </c>
      <c r="C33" s="2" t="s">
        <v>808</v>
      </c>
    </row>
    <row r="34" spans="1:3" x14ac:dyDescent="0.25">
      <c r="A34" s="1" t="s">
        <v>123</v>
      </c>
      <c r="B34" s="1" t="s">
        <v>1</v>
      </c>
      <c r="C34" s="2" t="s">
        <v>808</v>
      </c>
    </row>
    <row r="35" spans="1:3" x14ac:dyDescent="0.25">
      <c r="A35" s="1" t="s">
        <v>665</v>
      </c>
      <c r="B35" s="1" t="s">
        <v>1</v>
      </c>
      <c r="C35" s="2" t="s">
        <v>826</v>
      </c>
    </row>
    <row r="36" spans="1:3" x14ac:dyDescent="0.25">
      <c r="A36" s="1" t="s">
        <v>666</v>
      </c>
      <c r="B36" s="1" t="s">
        <v>1</v>
      </c>
      <c r="C36" s="2" t="s">
        <v>825</v>
      </c>
    </row>
    <row r="37" spans="1:3" x14ac:dyDescent="0.25">
      <c r="A37" s="1" t="s">
        <v>667</v>
      </c>
      <c r="B37" s="1" t="s">
        <v>1</v>
      </c>
      <c r="C37" s="2" t="s">
        <v>827</v>
      </c>
    </row>
    <row r="38" spans="1:3" x14ac:dyDescent="0.25">
      <c r="A38" s="1" t="s">
        <v>668</v>
      </c>
      <c r="B38" s="1" t="s">
        <v>1</v>
      </c>
      <c r="C38" s="2" t="s">
        <v>828</v>
      </c>
    </row>
    <row r="39" spans="1:3" x14ac:dyDescent="0.25">
      <c r="A39" s="1" t="s">
        <v>669</v>
      </c>
      <c r="B39" s="1" t="s">
        <v>1</v>
      </c>
      <c r="C39" s="2" t="s">
        <v>829</v>
      </c>
    </row>
    <row r="40" spans="1:3" x14ac:dyDescent="0.25">
      <c r="A40" s="1" t="s">
        <v>810</v>
      </c>
      <c r="B40" s="1" t="s">
        <v>1</v>
      </c>
      <c r="C40" s="2" t="s">
        <v>830</v>
      </c>
    </row>
    <row r="41" spans="1:3" x14ac:dyDescent="0.25">
      <c r="A41" s="1" t="s">
        <v>811</v>
      </c>
      <c r="B41" s="1" t="s">
        <v>1</v>
      </c>
      <c r="C41" s="2" t="s">
        <v>831</v>
      </c>
    </row>
    <row r="42" spans="1:3" x14ac:dyDescent="0.25">
      <c r="A42" s="1" t="s">
        <v>812</v>
      </c>
      <c r="B42" s="1" t="s">
        <v>1</v>
      </c>
      <c r="C42" s="2" t="s">
        <v>832</v>
      </c>
    </row>
    <row r="43" spans="1:3" x14ac:dyDescent="0.25">
      <c r="A43" s="1" t="s">
        <v>813</v>
      </c>
      <c r="B43" s="1" t="s">
        <v>1</v>
      </c>
      <c r="C43" s="2" t="s">
        <v>834</v>
      </c>
    </row>
    <row r="44" spans="1:3" x14ac:dyDescent="0.25">
      <c r="A44" s="1" t="s">
        <v>814</v>
      </c>
      <c r="B44" s="1" t="s">
        <v>1</v>
      </c>
      <c r="C44" s="2" t="s">
        <v>833</v>
      </c>
    </row>
    <row r="45" spans="1:3" x14ac:dyDescent="0.25">
      <c r="A45" s="1" t="s">
        <v>815</v>
      </c>
      <c r="B45" s="1" t="s">
        <v>1</v>
      </c>
      <c r="C45" s="2" t="s">
        <v>835</v>
      </c>
    </row>
    <row r="46" spans="1:3" x14ac:dyDescent="0.25">
      <c r="A46" s="1" t="s">
        <v>816</v>
      </c>
      <c r="B46" s="1" t="s">
        <v>1</v>
      </c>
      <c r="C46" s="1" t="s">
        <v>836</v>
      </c>
    </row>
    <row r="47" spans="1:3" x14ac:dyDescent="0.25">
      <c r="A47" s="1" t="s">
        <v>817</v>
      </c>
      <c r="B47" s="1" t="s">
        <v>1</v>
      </c>
      <c r="C47" s="2" t="s">
        <v>837</v>
      </c>
    </row>
    <row r="48" spans="1:3" x14ac:dyDescent="0.25">
      <c r="A48" s="1" t="s">
        <v>818</v>
      </c>
      <c r="B48" s="1" t="s">
        <v>1</v>
      </c>
      <c r="C48" s="2" t="s">
        <v>948</v>
      </c>
    </row>
    <row r="49" spans="1:4" x14ac:dyDescent="0.25">
      <c r="A49" s="1" t="s">
        <v>819</v>
      </c>
      <c r="B49" s="1" t="s">
        <v>1</v>
      </c>
      <c r="C49" s="2" t="s">
        <v>946</v>
      </c>
    </row>
    <row r="50" spans="1:4" x14ac:dyDescent="0.25">
      <c r="A50" s="1" t="s">
        <v>820</v>
      </c>
      <c r="B50" s="1" t="s">
        <v>1</v>
      </c>
      <c r="C50" s="2" t="s">
        <v>947</v>
      </c>
    </row>
    <row r="51" spans="1:4" x14ac:dyDescent="0.25">
      <c r="A51" s="1" t="s">
        <v>821</v>
      </c>
      <c r="B51" s="1" t="s">
        <v>1</v>
      </c>
      <c r="C51" s="2" t="s">
        <v>838</v>
      </c>
    </row>
    <row r="52" spans="1:4" x14ac:dyDescent="0.25">
      <c r="A52" s="1" t="s">
        <v>822</v>
      </c>
      <c r="B52" s="1" t="s">
        <v>1</v>
      </c>
      <c r="C52" s="2" t="s">
        <v>839</v>
      </c>
    </row>
    <row r="53" spans="1:4" x14ac:dyDescent="0.25">
      <c r="A53" s="1" t="s">
        <v>823</v>
      </c>
      <c r="B53" s="1" t="s">
        <v>1</v>
      </c>
      <c r="C53" s="2" t="s">
        <v>840</v>
      </c>
    </row>
    <row r="54" spans="1:4" x14ac:dyDescent="0.25">
      <c r="A54" s="1" t="s">
        <v>824</v>
      </c>
      <c r="B54" s="1" t="s">
        <v>1</v>
      </c>
      <c r="C54" s="2" t="s">
        <v>841</v>
      </c>
    </row>
    <row r="55" spans="1:4" x14ac:dyDescent="0.25">
      <c r="A55" s="1" t="s">
        <v>122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121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120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119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118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117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116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115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114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113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112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111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110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109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108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107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106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105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104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103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102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101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100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99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98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97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96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95</v>
      </c>
      <c r="B82" s="1" t="s">
        <v>1</v>
      </c>
      <c r="C82" s="2" t="str">
        <f>".equ reserved_0,                " &amp; D82</f>
        <v>.equ reserved_0,                54</v>
      </c>
      <c r="D82" s="13">
        <v>54</v>
      </c>
    </row>
    <row r="83" spans="1:4" x14ac:dyDescent="0.25">
      <c r="A83" s="1" t="s">
        <v>94</v>
      </c>
      <c r="B83" s="1" t="s">
        <v>1</v>
      </c>
      <c r="C83" s="2" t="str">
        <f>".equ reserved_1,                " &amp; D83</f>
        <v>.equ reserved_1,                56</v>
      </c>
      <c r="D83" s="13">
        <v>56</v>
      </c>
    </row>
    <row r="84" spans="1:4" x14ac:dyDescent="0.25">
      <c r="A84" s="1" t="s">
        <v>93</v>
      </c>
      <c r="B84" s="1" t="s">
        <v>1</v>
      </c>
      <c r="C84" s="2" t="str">
        <f>".equ reserved_2,                " &amp; D84</f>
        <v>.equ reserved_2,                58</v>
      </c>
      <c r="D84" s="13">
        <v>58</v>
      </c>
    </row>
    <row r="85" spans="1:4" x14ac:dyDescent="0.25">
      <c r="A85" s="1" t="s">
        <v>660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661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662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663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664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766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767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768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769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770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771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772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773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774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775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776</v>
      </c>
      <c r="B100" s="1" t="s">
        <v>1</v>
      </c>
      <c r="C100" s="1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777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778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779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842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A6FC0-B0EC-4681-A897-A79DEAC227AE}">
  <sheetPr codeName="Sheet9"/>
  <dimension ref="A1:C88"/>
  <sheetViews>
    <sheetView zoomScale="130" zoomScaleNormal="130" workbookViewId="0">
      <selection activeCell="C29" sqref="C29"/>
    </sheetView>
  </sheetViews>
  <sheetFormatPr defaultRowHeight="15" x14ac:dyDescent="0.25"/>
  <cols>
    <col min="1" max="1" width="14.5703125" style="1" customWidth="1"/>
    <col min="2" max="2" width="2.7109375" style="1" customWidth="1"/>
    <col min="3" max="3" width="52.85546875" style="1" bestFit="1" customWidth="1"/>
  </cols>
  <sheetData>
    <row r="1" spans="1:3" s="7" customFormat="1" ht="15.75" x14ac:dyDescent="0.3">
      <c r="A1" s="5" t="s">
        <v>184</v>
      </c>
      <c r="B1" s="5"/>
      <c r="C1" s="5"/>
    </row>
    <row r="2" spans="1:3" x14ac:dyDescent="0.25">
      <c r="A2" s="1" t="s">
        <v>171</v>
      </c>
      <c r="C2" s="2"/>
    </row>
    <row r="3" spans="1:3" x14ac:dyDescent="0.25">
      <c r="A3" s="1" t="s">
        <v>160</v>
      </c>
      <c r="C3" s="2"/>
    </row>
    <row r="4" spans="1:3" x14ac:dyDescent="0.25">
      <c r="A4" s="1" t="s">
        <v>80</v>
      </c>
      <c r="B4" s="1" t="s">
        <v>1</v>
      </c>
      <c r="C4" s="2" t="s">
        <v>183</v>
      </c>
    </row>
    <row r="5" spans="1:3" x14ac:dyDescent="0.25">
      <c r="A5" s="1" t="s">
        <v>78</v>
      </c>
      <c r="B5" s="1" t="s">
        <v>1</v>
      </c>
      <c r="C5" s="2" t="s">
        <v>170</v>
      </c>
    </row>
    <row r="6" spans="1:3" x14ac:dyDescent="0.25">
      <c r="A6" s="1" t="s">
        <v>76</v>
      </c>
      <c r="B6" s="1" t="s">
        <v>1</v>
      </c>
      <c r="C6" s="9">
        <f>COUNTA(A:A)-6</f>
        <v>82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90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x14ac:dyDescent="0.25">
      <c r="A13" s="1">
        <v>6</v>
      </c>
      <c r="B13" s="1" t="s">
        <v>1</v>
      </c>
      <c r="C13" s="2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182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181</v>
      </c>
    </row>
    <row r="28" spans="1:3" x14ac:dyDescent="0.25">
      <c r="A28" s="1">
        <v>21</v>
      </c>
      <c r="B28" s="1" t="s">
        <v>1</v>
      </c>
      <c r="C28" s="2" t="s">
        <v>178</v>
      </c>
    </row>
    <row r="29" spans="1:3" x14ac:dyDescent="0.25">
      <c r="A29" s="1">
        <v>22</v>
      </c>
      <c r="B29" s="1" t="s">
        <v>1</v>
      </c>
      <c r="C29" s="2" t="s">
        <v>180</v>
      </c>
    </row>
    <row r="30" spans="1:3" x14ac:dyDescent="0.25">
      <c r="A30" s="1">
        <v>23</v>
      </c>
      <c r="B30" s="1" t="s">
        <v>1</v>
      </c>
      <c r="C30" s="2" t="s">
        <v>176</v>
      </c>
    </row>
    <row r="31" spans="1:3" x14ac:dyDescent="0.25">
      <c r="A31" s="1">
        <v>24</v>
      </c>
      <c r="B31" s="1" t="s">
        <v>1</v>
      </c>
      <c r="C31" s="2" t="s">
        <v>53</v>
      </c>
    </row>
    <row r="32" spans="1:3" x14ac:dyDescent="0.25">
      <c r="A32" s="1">
        <v>25</v>
      </c>
      <c r="B32" s="1" t="s">
        <v>1</v>
      </c>
      <c r="C32" s="2" t="s">
        <v>52</v>
      </c>
    </row>
    <row r="33" spans="1:3" x14ac:dyDescent="0.25">
      <c r="A33" s="1">
        <v>26</v>
      </c>
      <c r="B33" s="1" t="s">
        <v>1</v>
      </c>
      <c r="C33" s="2" t="s">
        <v>51</v>
      </c>
    </row>
    <row r="34" spans="1:3" x14ac:dyDescent="0.25">
      <c r="A34" s="1">
        <v>27</v>
      </c>
      <c r="B34" s="1" t="s">
        <v>1</v>
      </c>
      <c r="C34" s="2" t="s">
        <v>50</v>
      </c>
    </row>
    <row r="35" spans="1:3" x14ac:dyDescent="0.25">
      <c r="A35" s="1">
        <v>28</v>
      </c>
      <c r="B35" s="1" t="s">
        <v>1</v>
      </c>
      <c r="C35" s="2" t="s">
        <v>49</v>
      </c>
    </row>
    <row r="36" spans="1:3" x14ac:dyDescent="0.25">
      <c r="A36" s="1">
        <v>29</v>
      </c>
      <c r="B36" s="1" t="s">
        <v>1</v>
      </c>
      <c r="C36" s="2" t="s">
        <v>48</v>
      </c>
    </row>
    <row r="37" spans="1:3" x14ac:dyDescent="0.25">
      <c r="A37" s="1">
        <v>30</v>
      </c>
      <c r="B37" s="1" t="s">
        <v>1</v>
      </c>
      <c r="C37" s="2" t="s">
        <v>47</v>
      </c>
    </row>
    <row r="38" spans="1:3" x14ac:dyDescent="0.25">
      <c r="A38" s="1">
        <v>31</v>
      </c>
      <c r="B38" s="1" t="s">
        <v>1</v>
      </c>
      <c r="C38" s="2" t="s">
        <v>46</v>
      </c>
    </row>
    <row r="39" spans="1:3" x14ac:dyDescent="0.25">
      <c r="A39" s="1">
        <v>32</v>
      </c>
      <c r="B39" s="1" t="s">
        <v>1</v>
      </c>
      <c r="C39" s="2" t="s">
        <v>55</v>
      </c>
    </row>
    <row r="40" spans="1:3" x14ac:dyDescent="0.25">
      <c r="A40" s="1">
        <v>33</v>
      </c>
      <c r="B40" s="1" t="s">
        <v>1</v>
      </c>
      <c r="C40" s="2" t="s">
        <v>54</v>
      </c>
    </row>
    <row r="41" spans="1:3" x14ac:dyDescent="0.25">
      <c r="A41" s="1">
        <v>34</v>
      </c>
      <c r="B41" s="1" t="s">
        <v>1</v>
      </c>
      <c r="C41" s="2" t="s">
        <v>45</v>
      </c>
    </row>
    <row r="42" spans="1:3" x14ac:dyDescent="0.25">
      <c r="A42" s="1">
        <v>35</v>
      </c>
      <c r="B42" s="1" t="s">
        <v>1</v>
      </c>
      <c r="C42" s="2" t="s">
        <v>179</v>
      </c>
    </row>
    <row r="43" spans="1:3" x14ac:dyDescent="0.25">
      <c r="A43" s="1">
        <v>36</v>
      </c>
      <c r="B43" s="1" t="s">
        <v>1</v>
      </c>
      <c r="C43" s="2" t="s">
        <v>178</v>
      </c>
    </row>
    <row r="44" spans="1:3" x14ac:dyDescent="0.25">
      <c r="A44" s="1">
        <v>37</v>
      </c>
      <c r="B44" s="1" t="s">
        <v>1</v>
      </c>
      <c r="C44" s="2" t="s">
        <v>177</v>
      </c>
    </row>
    <row r="45" spans="1:3" x14ac:dyDescent="0.25">
      <c r="A45" s="1">
        <v>38</v>
      </c>
      <c r="B45" s="1" t="s">
        <v>1</v>
      </c>
      <c r="C45" s="2" t="s">
        <v>176</v>
      </c>
    </row>
    <row r="46" spans="1:3" x14ac:dyDescent="0.25">
      <c r="A46" s="1">
        <v>39</v>
      </c>
      <c r="B46" s="1" t="s">
        <v>1</v>
      </c>
      <c r="C46" s="2" t="s">
        <v>175</v>
      </c>
    </row>
    <row r="47" spans="1:3" x14ac:dyDescent="0.25">
      <c r="A47" s="1">
        <v>40</v>
      </c>
      <c r="B47" s="1" t="s">
        <v>1</v>
      </c>
      <c r="C47" s="2" t="s">
        <v>39</v>
      </c>
    </row>
    <row r="48" spans="1:3" x14ac:dyDescent="0.25">
      <c r="A48" s="1">
        <v>41</v>
      </c>
      <c r="B48" s="1" t="s">
        <v>1</v>
      </c>
      <c r="C48" s="2" t="s">
        <v>38</v>
      </c>
    </row>
    <row r="49" spans="1:3" x14ac:dyDescent="0.25">
      <c r="A49" s="1">
        <v>42</v>
      </c>
      <c r="B49" s="1" t="s">
        <v>1</v>
      </c>
      <c r="C49" s="2" t="s">
        <v>37</v>
      </c>
    </row>
    <row r="50" spans="1:3" x14ac:dyDescent="0.25">
      <c r="A50" s="1">
        <v>43</v>
      </c>
      <c r="B50" s="1" t="s">
        <v>1</v>
      </c>
      <c r="C50" s="2" t="s">
        <v>36</v>
      </c>
    </row>
    <row r="51" spans="1:3" x14ac:dyDescent="0.25">
      <c r="A51" s="1">
        <v>44</v>
      </c>
      <c r="B51" s="1" t="s">
        <v>1</v>
      </c>
      <c r="C51" s="2" t="s">
        <v>35</v>
      </c>
    </row>
    <row r="52" spans="1:3" x14ac:dyDescent="0.25">
      <c r="A52" s="1">
        <v>45</v>
      </c>
      <c r="B52" s="1" t="s">
        <v>1</v>
      </c>
      <c r="C52" s="2" t="s">
        <v>34</v>
      </c>
    </row>
    <row r="53" spans="1:3" x14ac:dyDescent="0.25">
      <c r="A53" s="1">
        <v>46</v>
      </c>
      <c r="B53" s="1" t="s">
        <v>1</v>
      </c>
      <c r="C53" s="2" t="s">
        <v>33</v>
      </c>
    </row>
    <row r="54" spans="1:3" x14ac:dyDescent="0.25">
      <c r="A54" s="1">
        <v>47</v>
      </c>
      <c r="B54" s="1" t="s">
        <v>1</v>
      </c>
      <c r="C54" s="2" t="s">
        <v>32</v>
      </c>
    </row>
    <row r="55" spans="1:3" x14ac:dyDescent="0.25">
      <c r="A55" s="1">
        <v>48</v>
      </c>
      <c r="B55" s="1" t="s">
        <v>1</v>
      </c>
      <c r="C55" s="2" t="s">
        <v>31</v>
      </c>
    </row>
    <row r="56" spans="1:3" x14ac:dyDescent="0.25">
      <c r="A56" s="1">
        <v>49</v>
      </c>
      <c r="B56" s="1" t="s">
        <v>1</v>
      </c>
      <c r="C56" s="2" t="s">
        <v>30</v>
      </c>
    </row>
    <row r="57" spans="1:3" x14ac:dyDescent="0.25">
      <c r="A57" s="1">
        <v>50</v>
      </c>
      <c r="B57" s="1" t="s">
        <v>1</v>
      </c>
      <c r="C57" s="2" t="s">
        <v>28</v>
      </c>
    </row>
    <row r="58" spans="1:3" x14ac:dyDescent="0.25">
      <c r="A58" s="1">
        <v>51</v>
      </c>
      <c r="B58" s="1" t="s">
        <v>1</v>
      </c>
      <c r="C58" s="2" t="s">
        <v>19</v>
      </c>
    </row>
    <row r="59" spans="1:3" x14ac:dyDescent="0.25">
      <c r="A59" s="1">
        <v>52</v>
      </c>
      <c r="B59" s="1" t="s">
        <v>1</v>
      </c>
      <c r="C59" s="2" t="s">
        <v>174</v>
      </c>
    </row>
    <row r="60" spans="1:3" x14ac:dyDescent="0.25">
      <c r="A60" s="1">
        <v>53</v>
      </c>
      <c r="B60" s="1" t="s">
        <v>1</v>
      </c>
      <c r="C60" s="2" t="s">
        <v>26</v>
      </c>
    </row>
    <row r="61" spans="1:3" x14ac:dyDescent="0.25">
      <c r="A61" s="1">
        <v>54</v>
      </c>
      <c r="B61" s="1" t="s">
        <v>1</v>
      </c>
      <c r="C61" s="2" t="s">
        <v>25</v>
      </c>
    </row>
    <row r="62" spans="1:3" x14ac:dyDescent="0.25">
      <c r="A62" s="1">
        <v>55</v>
      </c>
      <c r="B62" s="1" t="s">
        <v>1</v>
      </c>
      <c r="C62" s="2" t="s">
        <v>24</v>
      </c>
    </row>
    <row r="63" spans="1:3" x14ac:dyDescent="0.25">
      <c r="A63" s="1">
        <v>56</v>
      </c>
      <c r="B63" s="1" t="s">
        <v>1</v>
      </c>
      <c r="C63" s="2" t="s">
        <v>23</v>
      </c>
    </row>
    <row r="64" spans="1:3" x14ac:dyDescent="0.25">
      <c r="A64" s="1">
        <v>57</v>
      </c>
      <c r="B64" s="1" t="s">
        <v>1</v>
      </c>
      <c r="C64" s="2" t="s">
        <v>22</v>
      </c>
    </row>
    <row r="65" spans="1:3" x14ac:dyDescent="0.25">
      <c r="A65" s="1">
        <v>58</v>
      </c>
      <c r="B65" s="1" t="s">
        <v>1</v>
      </c>
      <c r="C65" s="2" t="s">
        <v>21</v>
      </c>
    </row>
    <row r="66" spans="1:3" x14ac:dyDescent="0.25">
      <c r="A66" s="1">
        <v>59</v>
      </c>
      <c r="B66" s="1" t="s">
        <v>1</v>
      </c>
      <c r="C66" s="2" t="s">
        <v>20</v>
      </c>
    </row>
    <row r="67" spans="1:3" x14ac:dyDescent="0.25">
      <c r="A67" s="1">
        <v>60</v>
      </c>
      <c r="B67" s="1" t="s">
        <v>1</v>
      </c>
      <c r="C67" s="2" t="s">
        <v>29</v>
      </c>
    </row>
    <row r="68" spans="1:3" x14ac:dyDescent="0.25">
      <c r="A68" s="1">
        <v>61</v>
      </c>
      <c r="B68" s="1" t="s">
        <v>1</v>
      </c>
      <c r="C68" s="2" t="s">
        <v>19</v>
      </c>
    </row>
    <row r="69" spans="1:3" x14ac:dyDescent="0.25">
      <c r="A69" s="1">
        <v>62</v>
      </c>
      <c r="B69" s="1" t="s">
        <v>1</v>
      </c>
      <c r="C69" s="2" t="s">
        <v>18</v>
      </c>
    </row>
    <row r="70" spans="1:3" x14ac:dyDescent="0.25">
      <c r="A70" s="1">
        <v>63</v>
      </c>
      <c r="B70" s="1" t="s">
        <v>1</v>
      </c>
      <c r="C70" s="2" t="s">
        <v>17</v>
      </c>
    </row>
    <row r="71" spans="1:3" x14ac:dyDescent="0.25">
      <c r="A71" s="1">
        <v>64</v>
      </c>
      <c r="B71" s="1" t="s">
        <v>1</v>
      </c>
      <c r="C71" s="2" t="s">
        <v>2</v>
      </c>
    </row>
    <row r="72" spans="1:3" x14ac:dyDescent="0.25">
      <c r="A72" s="1">
        <v>65</v>
      </c>
      <c r="B72" s="1" t="s">
        <v>1</v>
      </c>
      <c r="C72" s="2" t="s">
        <v>16</v>
      </c>
    </row>
    <row r="73" spans="1:3" x14ac:dyDescent="0.25">
      <c r="A73" s="1">
        <v>66</v>
      </c>
      <c r="B73" s="1" t="s">
        <v>1</v>
      </c>
      <c r="C73" s="2" t="s">
        <v>15</v>
      </c>
    </row>
    <row r="74" spans="1:3" x14ac:dyDescent="0.25">
      <c r="A74" s="1">
        <v>67</v>
      </c>
      <c r="B74" s="1" t="s">
        <v>1</v>
      </c>
      <c r="C74" s="2" t="s">
        <v>14</v>
      </c>
    </row>
    <row r="75" spans="1:3" x14ac:dyDescent="0.25">
      <c r="A75" s="1">
        <v>68</v>
      </c>
      <c r="B75" s="1" t="s">
        <v>1</v>
      </c>
      <c r="C75" s="2" t="s">
        <v>13</v>
      </c>
    </row>
    <row r="76" spans="1:3" x14ac:dyDescent="0.25">
      <c r="A76" s="1">
        <v>69</v>
      </c>
      <c r="B76" s="1" t="s">
        <v>1</v>
      </c>
      <c r="C76" s="2" t="s">
        <v>12</v>
      </c>
    </row>
    <row r="77" spans="1:3" x14ac:dyDescent="0.25">
      <c r="A77" s="1">
        <v>70</v>
      </c>
      <c r="B77" s="1" t="s">
        <v>1</v>
      </c>
      <c r="C77" s="2" t="s">
        <v>11</v>
      </c>
    </row>
    <row r="78" spans="1:3" x14ac:dyDescent="0.25">
      <c r="A78" s="1">
        <v>71</v>
      </c>
      <c r="B78" s="1" t="s">
        <v>1</v>
      </c>
      <c r="C78" s="2" t="s">
        <v>10</v>
      </c>
    </row>
    <row r="79" spans="1:3" x14ac:dyDescent="0.25">
      <c r="A79" s="1">
        <v>72</v>
      </c>
      <c r="B79" s="1" t="s">
        <v>1</v>
      </c>
      <c r="C79" s="2" t="s">
        <v>2</v>
      </c>
    </row>
    <row r="80" spans="1:3" x14ac:dyDescent="0.25">
      <c r="A80" s="1">
        <v>73</v>
      </c>
      <c r="B80" s="1" t="s">
        <v>1</v>
      </c>
      <c r="C80" s="2" t="s">
        <v>9</v>
      </c>
    </row>
    <row r="81" spans="1:3" x14ac:dyDescent="0.25">
      <c r="A81" s="1">
        <v>74</v>
      </c>
      <c r="B81" s="1" t="s">
        <v>1</v>
      </c>
      <c r="C81" s="2" t="s">
        <v>8</v>
      </c>
    </row>
    <row r="82" spans="1:3" x14ac:dyDescent="0.25">
      <c r="A82" s="1">
        <v>75</v>
      </c>
      <c r="B82" s="1" t="s">
        <v>1</v>
      </c>
      <c r="C82" s="2" t="s">
        <v>7</v>
      </c>
    </row>
    <row r="83" spans="1:3" x14ac:dyDescent="0.25">
      <c r="A83" s="1">
        <v>76</v>
      </c>
      <c r="B83" s="1" t="s">
        <v>1</v>
      </c>
      <c r="C83" s="2" t="s">
        <v>6</v>
      </c>
    </row>
    <row r="84" spans="1:3" x14ac:dyDescent="0.25">
      <c r="A84" s="1">
        <v>77</v>
      </c>
      <c r="B84" s="1" t="s">
        <v>1</v>
      </c>
      <c r="C84" s="2" t="s">
        <v>5</v>
      </c>
    </row>
    <row r="85" spans="1:3" x14ac:dyDescent="0.25">
      <c r="A85" s="1">
        <v>78</v>
      </c>
      <c r="B85" s="1" t="s">
        <v>1</v>
      </c>
      <c r="C85" s="2" t="s">
        <v>4</v>
      </c>
    </row>
    <row r="86" spans="1:3" x14ac:dyDescent="0.25">
      <c r="A86" s="1">
        <v>79</v>
      </c>
      <c r="B86" s="1" t="s">
        <v>1</v>
      </c>
      <c r="C86" s="2" t="s">
        <v>3</v>
      </c>
    </row>
    <row r="87" spans="1:3" x14ac:dyDescent="0.25">
      <c r="A87" s="1">
        <v>80</v>
      </c>
      <c r="B87" s="1" t="s">
        <v>1</v>
      </c>
      <c r="C87" s="2" t="s">
        <v>2</v>
      </c>
    </row>
    <row r="88" spans="1:3" x14ac:dyDescent="0.25">
      <c r="A88" s="1">
        <v>81</v>
      </c>
      <c r="B88" s="1" t="s">
        <v>1</v>
      </c>
      <c r="C88" s="2" t="s">
        <v>0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1BFA-52B3-4427-AF67-675AD0D50729}">
  <sheetPr codeName="Sheet1"/>
  <dimension ref="A1:C1304"/>
  <sheetViews>
    <sheetView tabSelected="1" topLeftCell="A55" workbookViewId="0">
      <selection activeCell="A62" sqref="A62"/>
    </sheetView>
  </sheetViews>
  <sheetFormatPr defaultRowHeight="15" x14ac:dyDescent="0.25"/>
  <cols>
    <col min="1" max="1" width="23.7109375" style="4" customWidth="1"/>
    <col min="2" max="2" width="2.42578125" style="1" customWidth="1"/>
    <col min="3" max="3" width="109.5703125" style="2" customWidth="1"/>
  </cols>
  <sheetData>
    <row r="1" spans="1:3" s="7" customFormat="1" ht="15.75" x14ac:dyDescent="0.3">
      <c r="A1" s="5" t="s">
        <v>225</v>
      </c>
      <c r="B1" s="5"/>
      <c r="C1" s="6"/>
    </row>
    <row r="2" spans="1:3" x14ac:dyDescent="0.25">
      <c r="A2" s="4" t="s">
        <v>226</v>
      </c>
      <c r="B2" s="1" t="s">
        <v>1</v>
      </c>
      <c r="C2" s="2" t="s">
        <v>635</v>
      </c>
    </row>
    <row r="3" spans="1:3" x14ac:dyDescent="0.25">
      <c r="A3" s="4" t="s">
        <v>156</v>
      </c>
      <c r="B3" s="1" t="s">
        <v>1</v>
      </c>
      <c r="C3" s="2" t="s">
        <v>227</v>
      </c>
    </row>
    <row r="4" spans="1:3" x14ac:dyDescent="0.25">
      <c r="A4" s="4" t="s">
        <v>154</v>
      </c>
      <c r="B4" s="1" t="s">
        <v>1</v>
      </c>
      <c r="C4" s="2">
        <v>0</v>
      </c>
    </row>
    <row r="5" spans="1:3" x14ac:dyDescent="0.25">
      <c r="A5" s="4" t="s">
        <v>153</v>
      </c>
      <c r="B5" s="1" t="s">
        <v>1</v>
      </c>
      <c r="C5" s="2">
        <v>0</v>
      </c>
    </row>
    <row r="6" spans="1:3" x14ac:dyDescent="0.25">
      <c r="A6" s="4" t="s">
        <v>152</v>
      </c>
      <c r="B6" s="1" t="s">
        <v>1</v>
      </c>
      <c r="C6" s="2" t="s">
        <v>195</v>
      </c>
    </row>
    <row r="7" spans="1:3" x14ac:dyDescent="0.25">
      <c r="A7" s="4" t="s">
        <v>122</v>
      </c>
      <c r="B7" s="1" t="s">
        <v>1</v>
      </c>
      <c r="C7" s="2" t="s">
        <v>195</v>
      </c>
    </row>
    <row r="9" spans="1:3" s="7" customFormat="1" ht="15.75" x14ac:dyDescent="0.3">
      <c r="A9" s="5" t="s">
        <v>228</v>
      </c>
      <c r="B9" s="5"/>
      <c r="C9" s="6"/>
    </row>
    <row r="10" spans="1:3" x14ac:dyDescent="0.25">
      <c r="A10" s="4" t="s">
        <v>156</v>
      </c>
      <c r="B10" s="1" t="s">
        <v>1</v>
      </c>
      <c r="C10" s="2" t="s">
        <v>229</v>
      </c>
    </row>
    <row r="11" spans="1:3" x14ac:dyDescent="0.25">
      <c r="A11" s="4" t="s">
        <v>154</v>
      </c>
      <c r="B11" s="1" t="s">
        <v>1</v>
      </c>
      <c r="C11" s="2">
        <v>0</v>
      </c>
    </row>
    <row r="12" spans="1:3" x14ac:dyDescent="0.25">
      <c r="A12" s="4" t="s">
        <v>153</v>
      </c>
      <c r="B12" s="1" t="s">
        <v>1</v>
      </c>
      <c r="C12" s="2">
        <v>2</v>
      </c>
    </row>
    <row r="13" spans="1:3" x14ac:dyDescent="0.25">
      <c r="A13" s="4" t="s">
        <v>152</v>
      </c>
      <c r="B13" s="1" t="s">
        <v>1</v>
      </c>
      <c r="C13" s="2" t="s">
        <v>195</v>
      </c>
    </row>
    <row r="14" spans="1:3" x14ac:dyDescent="0.25">
      <c r="A14" s="4" t="s">
        <v>122</v>
      </c>
      <c r="B14" s="1" t="s">
        <v>1</v>
      </c>
      <c r="C14" s="2" t="s">
        <v>230</v>
      </c>
    </row>
    <row r="15" spans="1:3" x14ac:dyDescent="0.25">
      <c r="A15" s="4" t="s">
        <v>121</v>
      </c>
      <c r="B15" s="1" t="s">
        <v>1</v>
      </c>
      <c r="C15" s="2" t="s">
        <v>231</v>
      </c>
    </row>
    <row r="17" spans="1:3" s="7" customFormat="1" ht="15.75" x14ac:dyDescent="0.3">
      <c r="A17" s="5" t="s">
        <v>232</v>
      </c>
      <c r="B17" s="5"/>
      <c r="C17" s="6"/>
    </row>
    <row r="18" spans="1:3" x14ac:dyDescent="0.25">
      <c r="A18" s="4" t="s">
        <v>156</v>
      </c>
      <c r="B18" s="1" t="s">
        <v>1</v>
      </c>
      <c r="C18" s="2" t="s">
        <v>233</v>
      </c>
    </row>
    <row r="19" spans="1:3" x14ac:dyDescent="0.25">
      <c r="A19" s="4" t="s">
        <v>154</v>
      </c>
      <c r="B19" s="1" t="s">
        <v>1</v>
      </c>
      <c r="C19" s="2">
        <v>0</v>
      </c>
    </row>
    <row r="20" spans="1:3" x14ac:dyDescent="0.25">
      <c r="A20" s="4" t="s">
        <v>153</v>
      </c>
      <c r="B20" s="1" t="s">
        <v>1</v>
      </c>
      <c r="C20" s="2">
        <v>1</v>
      </c>
    </row>
    <row r="21" spans="1:3" x14ac:dyDescent="0.25">
      <c r="A21" s="4" t="s">
        <v>152</v>
      </c>
      <c r="B21" s="1" t="s">
        <v>1</v>
      </c>
      <c r="C21" s="2" t="s">
        <v>234</v>
      </c>
    </row>
    <row r="22" spans="1:3" x14ac:dyDescent="0.25">
      <c r="A22" s="4" t="s">
        <v>122</v>
      </c>
      <c r="B22" s="1" t="s">
        <v>1</v>
      </c>
      <c r="C22" s="2" t="s">
        <v>235</v>
      </c>
    </row>
    <row r="24" spans="1:3" s="7" customFormat="1" ht="15.75" x14ac:dyDescent="0.3">
      <c r="A24" s="5" t="s">
        <v>236</v>
      </c>
      <c r="B24" s="5"/>
      <c r="C24" s="6"/>
    </row>
    <row r="25" spans="1:3" x14ac:dyDescent="0.25">
      <c r="A25" s="4" t="s">
        <v>156</v>
      </c>
      <c r="B25" s="1" t="s">
        <v>1</v>
      </c>
      <c r="C25" s="2" t="s">
        <v>233</v>
      </c>
    </row>
    <row r="26" spans="1:3" x14ac:dyDescent="0.25">
      <c r="A26" s="4" t="s">
        <v>154</v>
      </c>
      <c r="B26" s="1" t="s">
        <v>1</v>
      </c>
      <c r="C26" s="2">
        <v>0</v>
      </c>
    </row>
    <row r="27" spans="1:3" x14ac:dyDescent="0.25">
      <c r="A27" s="4" t="s">
        <v>153</v>
      </c>
      <c r="B27" s="1" t="s">
        <v>1</v>
      </c>
      <c r="C27" s="2">
        <v>1</v>
      </c>
    </row>
    <row r="28" spans="1:3" x14ac:dyDescent="0.25">
      <c r="A28" s="4" t="s">
        <v>152</v>
      </c>
      <c r="B28" s="1" t="s">
        <v>1</v>
      </c>
      <c r="C28" s="2" t="s">
        <v>237</v>
      </c>
    </row>
    <row r="29" spans="1:3" x14ac:dyDescent="0.25">
      <c r="A29" s="4" t="s">
        <v>238</v>
      </c>
      <c r="B29" s="1" t="s">
        <v>1</v>
      </c>
      <c r="C29" s="2" t="s">
        <v>239</v>
      </c>
    </row>
    <row r="30" spans="1:3" x14ac:dyDescent="0.25">
      <c r="A30" s="4" t="s">
        <v>122</v>
      </c>
      <c r="B30" s="1" t="s">
        <v>1</v>
      </c>
      <c r="C30" s="2" t="s">
        <v>240</v>
      </c>
    </row>
    <row r="32" spans="1:3" s="7" customFormat="1" ht="15.75" x14ac:dyDescent="0.3">
      <c r="A32" s="5" t="s">
        <v>241</v>
      </c>
      <c r="B32" s="5"/>
      <c r="C32" s="6"/>
    </row>
    <row r="33" spans="1:3" x14ac:dyDescent="0.25">
      <c r="A33" s="4" t="s">
        <v>156</v>
      </c>
      <c r="B33" s="1" t="s">
        <v>1</v>
      </c>
      <c r="C33" s="2" t="s">
        <v>242</v>
      </c>
    </row>
    <row r="34" spans="1:3" x14ac:dyDescent="0.25">
      <c r="A34" s="4" t="s">
        <v>154</v>
      </c>
      <c r="B34" s="1" t="s">
        <v>1</v>
      </c>
      <c r="C34" s="2">
        <v>0</v>
      </c>
    </row>
    <row r="35" spans="1:3" x14ac:dyDescent="0.25">
      <c r="A35" s="4" t="s">
        <v>153</v>
      </c>
      <c r="B35" s="1" t="s">
        <v>1</v>
      </c>
      <c r="C35" s="9">
        <f>COUNTA(A43:A49)</f>
        <v>7</v>
      </c>
    </row>
    <row r="36" spans="1:3" x14ac:dyDescent="0.25">
      <c r="A36" s="4" t="s">
        <v>152</v>
      </c>
      <c r="B36" s="1" t="s">
        <v>1</v>
      </c>
      <c r="C36" s="2" t="s">
        <v>243</v>
      </c>
    </row>
    <row r="37" spans="1:3" x14ac:dyDescent="0.25">
      <c r="A37" s="4" t="s">
        <v>151</v>
      </c>
      <c r="B37" s="1" t="s">
        <v>1</v>
      </c>
      <c r="C37" s="2" t="s">
        <v>244</v>
      </c>
    </row>
    <row r="38" spans="1:3" x14ac:dyDescent="0.25">
      <c r="A38" s="4" t="s">
        <v>150</v>
      </c>
      <c r="B38" s="1" t="s">
        <v>1</v>
      </c>
      <c r="C38" s="2" t="s">
        <v>245</v>
      </c>
    </row>
    <row r="39" spans="1:3" x14ac:dyDescent="0.25">
      <c r="A39" s="4" t="s">
        <v>149</v>
      </c>
      <c r="B39" s="1" t="s">
        <v>1</v>
      </c>
      <c r="C39" s="2" t="s">
        <v>246</v>
      </c>
    </row>
    <row r="40" spans="1:3" x14ac:dyDescent="0.25">
      <c r="A40" s="4" t="s">
        <v>148</v>
      </c>
      <c r="B40" s="1" t="s">
        <v>1</v>
      </c>
      <c r="C40" s="2" t="s">
        <v>887</v>
      </c>
    </row>
    <row r="41" spans="1:3" x14ac:dyDescent="0.25">
      <c r="A41" s="4" t="s">
        <v>147</v>
      </c>
      <c r="B41" s="1" t="s">
        <v>1</v>
      </c>
      <c r="C41" s="2" t="s">
        <v>247</v>
      </c>
    </row>
    <row r="42" spans="1:3" x14ac:dyDescent="0.25">
      <c r="A42" s="4" t="s">
        <v>146</v>
      </c>
      <c r="B42" s="1" t="s">
        <v>1</v>
      </c>
      <c r="C42" s="2" t="s">
        <v>248</v>
      </c>
    </row>
    <row r="43" spans="1:3" x14ac:dyDescent="0.25">
      <c r="A43" s="4" t="s">
        <v>122</v>
      </c>
      <c r="B43" s="1" t="s">
        <v>1</v>
      </c>
      <c r="C43" s="2" t="s">
        <v>888</v>
      </c>
    </row>
    <row r="44" spans="1:3" x14ac:dyDescent="0.25">
      <c r="A44" s="4" t="s">
        <v>121</v>
      </c>
      <c r="B44" s="1" t="s">
        <v>1</v>
      </c>
      <c r="C44" s="2" t="s">
        <v>670</v>
      </c>
    </row>
    <row r="45" spans="1:3" x14ac:dyDescent="0.25">
      <c r="A45" s="4" t="s">
        <v>120</v>
      </c>
      <c r="B45" s="1" t="s">
        <v>1</v>
      </c>
      <c r="C45" s="2" t="s">
        <v>671</v>
      </c>
    </row>
    <row r="46" spans="1:3" x14ac:dyDescent="0.25">
      <c r="A46" s="4" t="s">
        <v>119</v>
      </c>
      <c r="B46" s="1" t="s">
        <v>1</v>
      </c>
      <c r="C46" s="2" t="s">
        <v>672</v>
      </c>
    </row>
    <row r="47" spans="1:3" x14ac:dyDescent="0.25">
      <c r="A47" s="4" t="s">
        <v>118</v>
      </c>
      <c r="B47" s="1" t="s">
        <v>1</v>
      </c>
      <c r="C47" s="2" t="s">
        <v>889</v>
      </c>
    </row>
    <row r="48" spans="1:3" x14ac:dyDescent="0.25">
      <c r="A48" s="4" t="s">
        <v>117</v>
      </c>
      <c r="B48" s="1" t="s">
        <v>1</v>
      </c>
      <c r="C48" s="2" t="s">
        <v>673</v>
      </c>
    </row>
    <row r="49" spans="1:3" x14ac:dyDescent="0.25">
      <c r="A49" s="4" t="s">
        <v>116</v>
      </c>
      <c r="B49" s="1" t="s">
        <v>1</v>
      </c>
      <c r="C49" s="2" t="s">
        <v>674</v>
      </c>
    </row>
    <row r="51" spans="1:3" s="7" customFormat="1" ht="15.75" x14ac:dyDescent="0.3">
      <c r="A51" s="5" t="s">
        <v>249</v>
      </c>
      <c r="B51" s="5"/>
      <c r="C51" s="6"/>
    </row>
    <row r="52" spans="1:3" x14ac:dyDescent="0.25">
      <c r="A52" s="4" t="s">
        <v>156</v>
      </c>
      <c r="B52" s="1" t="s">
        <v>1</v>
      </c>
      <c r="C52" s="2" t="s">
        <v>250</v>
      </c>
    </row>
    <row r="53" spans="1:3" x14ac:dyDescent="0.25">
      <c r="A53" s="4" t="s">
        <v>154</v>
      </c>
      <c r="B53" s="1" t="s">
        <v>1</v>
      </c>
      <c r="C53" s="2">
        <v>0</v>
      </c>
    </row>
    <row r="54" spans="1:3" x14ac:dyDescent="0.25">
      <c r="A54" s="4" t="s">
        <v>153</v>
      </c>
      <c r="B54" s="1" t="s">
        <v>1</v>
      </c>
      <c r="C54" s="9">
        <f>COUNTA(A58:A59)</f>
        <v>2</v>
      </c>
    </row>
    <row r="55" spans="1:3" x14ac:dyDescent="0.25">
      <c r="A55" s="4" t="s">
        <v>152</v>
      </c>
      <c r="B55" s="1" t="s">
        <v>1</v>
      </c>
      <c r="C55" s="2" t="s">
        <v>195</v>
      </c>
    </row>
    <row r="56" spans="1:3" x14ac:dyDescent="0.25">
      <c r="A56" s="4" t="s">
        <v>151</v>
      </c>
      <c r="B56" s="1" t="s">
        <v>1</v>
      </c>
      <c r="C56" s="2" t="s">
        <v>251</v>
      </c>
    </row>
    <row r="57" spans="1:3" x14ac:dyDescent="0.25">
      <c r="A57" s="4" t="s">
        <v>150</v>
      </c>
      <c r="B57" s="1" t="s">
        <v>1</v>
      </c>
      <c r="C57" s="2" t="s">
        <v>252</v>
      </c>
    </row>
    <row r="58" spans="1:3" x14ac:dyDescent="0.25">
      <c r="A58" s="4" t="s">
        <v>122</v>
      </c>
      <c r="B58" s="1" t="s">
        <v>1</v>
      </c>
      <c r="C58" s="2" t="s">
        <v>253</v>
      </c>
    </row>
    <row r="59" spans="1:3" x14ac:dyDescent="0.25">
      <c r="A59" s="4" t="s">
        <v>121</v>
      </c>
      <c r="B59" s="1" t="s">
        <v>1</v>
      </c>
      <c r="C59" s="2" t="s">
        <v>254</v>
      </c>
    </row>
    <row r="61" spans="1:3" s="7" customFormat="1" ht="15.75" x14ac:dyDescent="0.3">
      <c r="A61" s="5" t="s">
        <v>255</v>
      </c>
      <c r="B61" s="5"/>
      <c r="C61" s="6"/>
    </row>
    <row r="62" spans="1:3" x14ac:dyDescent="0.25">
      <c r="A62" s="4" t="s">
        <v>156</v>
      </c>
      <c r="B62" s="1" t="s">
        <v>1</v>
      </c>
      <c r="C62" s="2" t="s">
        <v>256</v>
      </c>
    </row>
    <row r="63" spans="1:3" x14ac:dyDescent="0.25">
      <c r="A63" s="4" t="s">
        <v>154</v>
      </c>
      <c r="B63" s="1" t="s">
        <v>1</v>
      </c>
      <c r="C63" s="2">
        <v>0</v>
      </c>
    </row>
    <row r="64" spans="1:3" x14ac:dyDescent="0.25">
      <c r="A64" s="4" t="s">
        <v>153</v>
      </c>
      <c r="B64" s="1" t="s">
        <v>1</v>
      </c>
      <c r="C64" s="2">
        <v>2</v>
      </c>
    </row>
    <row r="65" spans="1:3" x14ac:dyDescent="0.25">
      <c r="A65" s="4" t="s">
        <v>152</v>
      </c>
      <c r="B65" s="1" t="s">
        <v>1</v>
      </c>
      <c r="C65" s="2" t="s">
        <v>195</v>
      </c>
    </row>
    <row r="66" spans="1:3" x14ac:dyDescent="0.25">
      <c r="A66" s="4" t="s">
        <v>151</v>
      </c>
      <c r="B66" s="1" t="s">
        <v>1</v>
      </c>
      <c r="C66" s="2" t="s">
        <v>195</v>
      </c>
    </row>
    <row r="67" spans="1:3" x14ac:dyDescent="0.25">
      <c r="A67" s="4" t="s">
        <v>122</v>
      </c>
      <c r="B67" s="1" t="s">
        <v>1</v>
      </c>
      <c r="C67" s="2" t="s">
        <v>257</v>
      </c>
    </row>
    <row r="68" spans="1:3" x14ac:dyDescent="0.25">
      <c r="A68" s="4" t="s">
        <v>121</v>
      </c>
      <c r="B68" s="1" t="s">
        <v>1</v>
      </c>
      <c r="C68" s="2" t="s">
        <v>258</v>
      </c>
    </row>
    <row r="70" spans="1:3" s="7" customFormat="1" ht="15.75" x14ac:dyDescent="0.3">
      <c r="A70" s="5" t="s">
        <v>259</v>
      </c>
      <c r="B70" s="5"/>
      <c r="C70" s="6"/>
    </row>
    <row r="71" spans="1:3" x14ac:dyDescent="0.25">
      <c r="A71" s="4" t="s">
        <v>156</v>
      </c>
      <c r="B71" s="1" t="s">
        <v>1</v>
      </c>
      <c r="C71" s="2" t="s">
        <v>260</v>
      </c>
    </row>
    <row r="72" spans="1:3" x14ac:dyDescent="0.25">
      <c r="A72" s="4" t="s">
        <v>154</v>
      </c>
      <c r="B72" s="1" t="s">
        <v>1</v>
      </c>
      <c r="C72" s="2">
        <v>0</v>
      </c>
    </row>
    <row r="73" spans="1:3" x14ac:dyDescent="0.25">
      <c r="A73" s="4" t="s">
        <v>153</v>
      </c>
      <c r="B73" s="1" t="s">
        <v>1</v>
      </c>
      <c r="C73" s="2">
        <v>2</v>
      </c>
    </row>
    <row r="74" spans="1:3" x14ac:dyDescent="0.25">
      <c r="A74" s="4" t="s">
        <v>152</v>
      </c>
      <c r="B74" s="1" t="s">
        <v>1</v>
      </c>
      <c r="C74" s="2" t="s">
        <v>195</v>
      </c>
    </row>
    <row r="75" spans="1:3" x14ac:dyDescent="0.25">
      <c r="A75" s="4" t="s">
        <v>151</v>
      </c>
      <c r="B75" s="1" t="s">
        <v>1</v>
      </c>
      <c r="C75" s="2" t="s">
        <v>195</v>
      </c>
    </row>
    <row r="76" spans="1:3" x14ac:dyDescent="0.25">
      <c r="A76" s="4" t="s">
        <v>122</v>
      </c>
      <c r="B76" s="1" t="s">
        <v>1</v>
      </c>
      <c r="C76" s="2" t="s">
        <v>261</v>
      </c>
    </row>
    <row r="77" spans="1:3" x14ac:dyDescent="0.25">
      <c r="A77" s="4" t="s">
        <v>121</v>
      </c>
      <c r="B77" s="1" t="s">
        <v>1</v>
      </c>
      <c r="C77" s="2" t="s">
        <v>262</v>
      </c>
    </row>
    <row r="79" spans="1:3" s="7" customFormat="1" ht="15.75" x14ac:dyDescent="0.3">
      <c r="A79" s="5" t="s">
        <v>263</v>
      </c>
      <c r="B79" s="5"/>
      <c r="C79" s="6"/>
    </row>
    <row r="80" spans="1:3" x14ac:dyDescent="0.25">
      <c r="A80" s="4" t="s">
        <v>156</v>
      </c>
      <c r="B80" s="1" t="s">
        <v>1</v>
      </c>
      <c r="C80" s="2" t="s">
        <v>264</v>
      </c>
    </row>
    <row r="81" spans="1:3" x14ac:dyDescent="0.25">
      <c r="A81" s="4" t="s">
        <v>154</v>
      </c>
      <c r="B81" s="1" t="s">
        <v>1</v>
      </c>
      <c r="C81" s="2">
        <v>0</v>
      </c>
    </row>
    <row r="82" spans="1:3" x14ac:dyDescent="0.25">
      <c r="A82" s="4" t="s">
        <v>153</v>
      </c>
      <c r="B82" s="1" t="s">
        <v>1</v>
      </c>
      <c r="C82" s="2">
        <v>2</v>
      </c>
    </row>
    <row r="83" spans="1:3" x14ac:dyDescent="0.25">
      <c r="A83" s="4" t="s">
        <v>152</v>
      </c>
      <c r="B83" s="1" t="s">
        <v>1</v>
      </c>
      <c r="C83" s="2" t="s">
        <v>915</v>
      </c>
    </row>
    <row r="84" spans="1:3" x14ac:dyDescent="0.25">
      <c r="A84" s="4" t="s">
        <v>151</v>
      </c>
      <c r="B84" s="1" t="s">
        <v>1</v>
      </c>
      <c r="C84" s="2" t="s">
        <v>909</v>
      </c>
    </row>
    <row r="85" spans="1:3" x14ac:dyDescent="0.25">
      <c r="A85" s="4" t="s">
        <v>122</v>
      </c>
      <c r="B85" s="1" t="s">
        <v>1</v>
      </c>
      <c r="C85" s="2" t="s">
        <v>265</v>
      </c>
    </row>
    <row r="86" spans="1:3" x14ac:dyDescent="0.25">
      <c r="A86" s="4" t="s">
        <v>121</v>
      </c>
      <c r="B86" s="1" t="s">
        <v>1</v>
      </c>
      <c r="C86" s="2" t="s">
        <v>852</v>
      </c>
    </row>
    <row r="88" spans="1:3" s="7" customFormat="1" ht="15.75" x14ac:dyDescent="0.3">
      <c r="A88" s="5" t="s">
        <v>266</v>
      </c>
      <c r="B88" s="5"/>
      <c r="C88" s="6"/>
    </row>
    <row r="89" spans="1:3" x14ac:dyDescent="0.25">
      <c r="A89" s="4" t="s">
        <v>267</v>
      </c>
      <c r="B89" s="1" t="s">
        <v>1</v>
      </c>
      <c r="C89" s="2" t="s">
        <v>77</v>
      </c>
    </row>
    <row r="90" spans="1:3" x14ac:dyDescent="0.25">
      <c r="A90" s="4" t="s">
        <v>156</v>
      </c>
      <c r="B90" s="1" t="s">
        <v>1</v>
      </c>
      <c r="C90" s="2" t="s">
        <v>195</v>
      </c>
    </row>
    <row r="91" spans="1:3" x14ac:dyDescent="0.25">
      <c r="A91" s="4" t="s">
        <v>154</v>
      </c>
      <c r="B91" s="1" t="s">
        <v>1</v>
      </c>
      <c r="C91" s="2">
        <v>0</v>
      </c>
    </row>
    <row r="92" spans="1:3" x14ac:dyDescent="0.25">
      <c r="A92" s="4" t="s">
        <v>153</v>
      </c>
      <c r="B92" s="1" t="s">
        <v>1</v>
      </c>
      <c r="C92" s="2">
        <v>1</v>
      </c>
    </row>
    <row r="93" spans="1:3" x14ac:dyDescent="0.25">
      <c r="A93" s="4" t="s">
        <v>152</v>
      </c>
      <c r="B93" s="1" t="s">
        <v>1</v>
      </c>
      <c r="C93" s="2" t="s">
        <v>911</v>
      </c>
    </row>
    <row r="94" spans="1:3" x14ac:dyDescent="0.25">
      <c r="A94" s="4" t="s">
        <v>122</v>
      </c>
      <c r="B94" s="1" t="s">
        <v>1</v>
      </c>
      <c r="C94" s="2" t="s">
        <v>268</v>
      </c>
    </row>
    <row r="96" spans="1:3" s="7" customFormat="1" ht="15.75" x14ac:dyDescent="0.3">
      <c r="A96" s="5" t="s">
        <v>269</v>
      </c>
      <c r="B96" s="5"/>
      <c r="C96" s="6"/>
    </row>
    <row r="97" spans="1:3" x14ac:dyDescent="0.25">
      <c r="A97" s="4" t="s">
        <v>156</v>
      </c>
      <c r="B97" s="1" t="s">
        <v>1</v>
      </c>
      <c r="C97" s="2" t="s">
        <v>195</v>
      </c>
    </row>
    <row r="98" spans="1:3" x14ac:dyDescent="0.25">
      <c r="A98" s="4" t="s">
        <v>154</v>
      </c>
      <c r="B98" s="1" t="s">
        <v>1</v>
      </c>
      <c r="C98" s="2">
        <v>0</v>
      </c>
    </row>
    <row r="99" spans="1:3" x14ac:dyDescent="0.25">
      <c r="A99" s="4" t="s">
        <v>153</v>
      </c>
      <c r="B99" s="1" t="s">
        <v>1</v>
      </c>
      <c r="C99" s="2">
        <v>2</v>
      </c>
    </row>
    <row r="100" spans="1:3" x14ac:dyDescent="0.25">
      <c r="A100" s="4" t="s">
        <v>152</v>
      </c>
      <c r="B100" s="1" t="s">
        <v>1</v>
      </c>
      <c r="C100" s="2" t="s">
        <v>910</v>
      </c>
    </row>
    <row r="101" spans="1:3" x14ac:dyDescent="0.25">
      <c r="A101" s="4" t="s">
        <v>151</v>
      </c>
      <c r="B101" s="1" t="s">
        <v>1</v>
      </c>
      <c r="C101" s="2" t="s">
        <v>908</v>
      </c>
    </row>
    <row r="102" spans="1:3" x14ac:dyDescent="0.25">
      <c r="A102" s="4" t="s">
        <v>122</v>
      </c>
      <c r="B102" s="1" t="s">
        <v>1</v>
      </c>
      <c r="C102" s="2" t="s">
        <v>270</v>
      </c>
    </row>
    <row r="103" spans="1:3" x14ac:dyDescent="0.25">
      <c r="A103" s="4" t="s">
        <v>121</v>
      </c>
      <c r="B103" s="1" t="s">
        <v>1</v>
      </c>
      <c r="C103" s="2" t="s">
        <v>271</v>
      </c>
    </row>
    <row r="105" spans="1:3" s="7" customFormat="1" ht="15.75" x14ac:dyDescent="0.3">
      <c r="A105" s="5" t="s">
        <v>272</v>
      </c>
      <c r="B105" s="5"/>
      <c r="C105" s="6"/>
    </row>
    <row r="106" spans="1:3" x14ac:dyDescent="0.25">
      <c r="A106" s="4" t="s">
        <v>156</v>
      </c>
      <c r="B106" s="1" t="s">
        <v>1</v>
      </c>
      <c r="C106" s="2" t="s">
        <v>273</v>
      </c>
    </row>
    <row r="107" spans="1:3" x14ac:dyDescent="0.25">
      <c r="A107" s="4" t="s">
        <v>154</v>
      </c>
      <c r="B107" s="1" t="s">
        <v>1</v>
      </c>
      <c r="C107" s="2">
        <v>0</v>
      </c>
    </row>
    <row r="108" spans="1:3" x14ac:dyDescent="0.25">
      <c r="A108" s="4" t="s">
        <v>153</v>
      </c>
      <c r="B108" s="1" t="s">
        <v>1</v>
      </c>
      <c r="C108" s="2">
        <v>2</v>
      </c>
    </row>
    <row r="109" spans="1:3" x14ac:dyDescent="0.25">
      <c r="A109" s="4" t="s">
        <v>152</v>
      </c>
      <c r="B109" s="1" t="s">
        <v>1</v>
      </c>
      <c r="C109" s="2" t="s">
        <v>915</v>
      </c>
    </row>
    <row r="110" spans="1:3" x14ac:dyDescent="0.25">
      <c r="A110" s="4" t="s">
        <v>151</v>
      </c>
      <c r="B110" s="1" t="s">
        <v>1</v>
      </c>
      <c r="C110" s="2" t="s">
        <v>912</v>
      </c>
    </row>
    <row r="111" spans="1:3" x14ac:dyDescent="0.25">
      <c r="A111" s="4" t="s">
        <v>122</v>
      </c>
      <c r="B111" s="1" t="s">
        <v>1</v>
      </c>
      <c r="C111" s="2" t="s">
        <v>265</v>
      </c>
    </row>
    <row r="112" spans="1:3" x14ac:dyDescent="0.25">
      <c r="A112" s="4" t="s">
        <v>121</v>
      </c>
      <c r="B112" s="1" t="s">
        <v>1</v>
      </c>
      <c r="C112" s="2" t="s">
        <v>856</v>
      </c>
    </row>
    <row r="114" spans="1:3" s="7" customFormat="1" ht="15.75" x14ac:dyDescent="0.3">
      <c r="A114" s="5" t="s">
        <v>274</v>
      </c>
      <c r="B114" s="5"/>
      <c r="C114" s="6"/>
    </row>
    <row r="115" spans="1:3" x14ac:dyDescent="0.25">
      <c r="A115" s="4" t="s">
        <v>267</v>
      </c>
      <c r="B115" s="1" t="s">
        <v>1</v>
      </c>
      <c r="C115" s="2" t="s">
        <v>275</v>
      </c>
    </row>
    <row r="116" spans="1:3" x14ac:dyDescent="0.25">
      <c r="A116" s="4" t="s">
        <v>156</v>
      </c>
      <c r="B116" s="1" t="s">
        <v>1</v>
      </c>
      <c r="C116" s="2" t="s">
        <v>195</v>
      </c>
    </row>
    <row r="117" spans="1:3" x14ac:dyDescent="0.25">
      <c r="A117" s="4" t="s">
        <v>154</v>
      </c>
      <c r="B117" s="1" t="s">
        <v>1</v>
      </c>
      <c r="C117" s="2">
        <v>0</v>
      </c>
    </row>
    <row r="118" spans="1:3" x14ac:dyDescent="0.25">
      <c r="A118" s="4" t="s">
        <v>153</v>
      </c>
      <c r="B118" s="1" t="s">
        <v>1</v>
      </c>
      <c r="C118" s="2">
        <v>1</v>
      </c>
    </row>
    <row r="119" spans="1:3" x14ac:dyDescent="0.25">
      <c r="A119" s="4" t="s">
        <v>152</v>
      </c>
      <c r="B119" s="1" t="s">
        <v>1</v>
      </c>
      <c r="C119" s="2" t="s">
        <v>276</v>
      </c>
    </row>
    <row r="120" spans="1:3" x14ac:dyDescent="0.25">
      <c r="A120" s="4" t="s">
        <v>122</v>
      </c>
      <c r="B120" s="1" t="s">
        <v>1</v>
      </c>
      <c r="C120" s="2" t="s">
        <v>268</v>
      </c>
    </row>
    <row r="122" spans="1:3" s="7" customFormat="1" ht="15.75" x14ac:dyDescent="0.3">
      <c r="A122" s="5" t="s">
        <v>277</v>
      </c>
      <c r="B122" s="5"/>
      <c r="C122" s="6"/>
    </row>
    <row r="123" spans="1:3" x14ac:dyDescent="0.25">
      <c r="A123" s="4" t="s">
        <v>156</v>
      </c>
      <c r="B123" s="1" t="s">
        <v>1</v>
      </c>
      <c r="C123" s="2" t="s">
        <v>195</v>
      </c>
    </row>
    <row r="124" spans="1:3" x14ac:dyDescent="0.25">
      <c r="A124" s="4" t="s">
        <v>154</v>
      </c>
      <c r="B124" s="1" t="s">
        <v>1</v>
      </c>
      <c r="C124" s="2">
        <v>0</v>
      </c>
    </row>
    <row r="125" spans="1:3" x14ac:dyDescent="0.25">
      <c r="A125" s="4" t="s">
        <v>153</v>
      </c>
      <c r="B125" s="1" t="s">
        <v>1</v>
      </c>
      <c r="C125" s="2">
        <v>2</v>
      </c>
    </row>
    <row r="126" spans="1:3" x14ac:dyDescent="0.25">
      <c r="A126" s="4" t="s">
        <v>152</v>
      </c>
      <c r="B126" s="1" t="s">
        <v>1</v>
      </c>
      <c r="C126" s="2" t="s">
        <v>917</v>
      </c>
    </row>
    <row r="127" spans="1:3" x14ac:dyDescent="0.25">
      <c r="A127" s="4" t="s">
        <v>151</v>
      </c>
      <c r="B127" s="1" t="s">
        <v>1</v>
      </c>
      <c r="C127" s="2" t="s">
        <v>908</v>
      </c>
    </row>
    <row r="128" spans="1:3" x14ac:dyDescent="0.25">
      <c r="A128" s="4" t="s">
        <v>122</v>
      </c>
      <c r="B128" s="1" t="s">
        <v>1</v>
      </c>
      <c r="C128" s="2" t="s">
        <v>270</v>
      </c>
    </row>
    <row r="129" spans="1:3" x14ac:dyDescent="0.25">
      <c r="A129" s="4" t="s">
        <v>121</v>
      </c>
      <c r="B129" s="1" t="s">
        <v>1</v>
      </c>
      <c r="C129" s="2" t="s">
        <v>271</v>
      </c>
    </row>
    <row r="131" spans="1:3" s="7" customFormat="1" ht="15.75" x14ac:dyDescent="0.3">
      <c r="A131" s="5" t="s">
        <v>278</v>
      </c>
      <c r="B131" s="5"/>
      <c r="C131" s="6"/>
    </row>
    <row r="132" spans="1:3" x14ac:dyDescent="0.25">
      <c r="A132" s="4" t="s">
        <v>156</v>
      </c>
      <c r="B132" s="1" t="s">
        <v>1</v>
      </c>
      <c r="C132" s="2" t="s">
        <v>279</v>
      </c>
    </row>
    <row r="133" spans="1:3" x14ac:dyDescent="0.25">
      <c r="A133" s="4" t="s">
        <v>154</v>
      </c>
      <c r="B133" s="1" t="s">
        <v>1</v>
      </c>
      <c r="C133" s="2">
        <v>0</v>
      </c>
    </row>
    <row r="134" spans="1:3" x14ac:dyDescent="0.25">
      <c r="A134" s="4" t="s">
        <v>153</v>
      </c>
      <c r="B134" s="1" t="s">
        <v>1</v>
      </c>
      <c r="C134" s="2">
        <v>3</v>
      </c>
    </row>
    <row r="135" spans="1:3" x14ac:dyDescent="0.25">
      <c r="A135" s="4" t="s">
        <v>152</v>
      </c>
      <c r="B135" s="1" t="s">
        <v>1</v>
      </c>
      <c r="C135" s="2" t="s">
        <v>915</v>
      </c>
    </row>
    <row r="136" spans="1:3" x14ac:dyDescent="0.25">
      <c r="A136" s="4" t="s">
        <v>151</v>
      </c>
      <c r="B136" s="1" t="s">
        <v>1</v>
      </c>
      <c r="C136" s="2" t="s">
        <v>918</v>
      </c>
    </row>
    <row r="137" spans="1:3" x14ac:dyDescent="0.25">
      <c r="A137" s="4" t="s">
        <v>150</v>
      </c>
      <c r="B137" s="1" t="s">
        <v>1</v>
      </c>
      <c r="C137" s="2" t="s">
        <v>909</v>
      </c>
    </row>
    <row r="138" spans="1:3" x14ac:dyDescent="0.25">
      <c r="A138" s="4" t="s">
        <v>122</v>
      </c>
      <c r="B138" s="1" t="s">
        <v>1</v>
      </c>
      <c r="C138" s="2" t="s">
        <v>265</v>
      </c>
    </row>
    <row r="139" spans="1:3" x14ac:dyDescent="0.25">
      <c r="A139" s="4" t="s">
        <v>121</v>
      </c>
      <c r="B139" s="1" t="s">
        <v>1</v>
      </c>
      <c r="C139" s="2" t="s">
        <v>280</v>
      </c>
    </row>
    <row r="140" spans="1:3" x14ac:dyDescent="0.25">
      <c r="A140" s="4" t="s">
        <v>120</v>
      </c>
      <c r="B140" s="1" t="s">
        <v>1</v>
      </c>
      <c r="C140" s="2" t="s">
        <v>852</v>
      </c>
    </row>
    <row r="142" spans="1:3" s="7" customFormat="1" ht="15.75" x14ac:dyDescent="0.3">
      <c r="A142" s="5" t="s">
        <v>281</v>
      </c>
      <c r="B142" s="5"/>
      <c r="C142" s="6"/>
    </row>
    <row r="143" spans="1:3" x14ac:dyDescent="0.25">
      <c r="A143" s="4" t="s">
        <v>267</v>
      </c>
      <c r="B143" s="1" t="s">
        <v>1</v>
      </c>
      <c r="C143" s="2" t="s">
        <v>77</v>
      </c>
    </row>
    <row r="144" spans="1:3" x14ac:dyDescent="0.25">
      <c r="A144" s="4" t="s">
        <v>156</v>
      </c>
      <c r="B144" s="1" t="s">
        <v>1</v>
      </c>
      <c r="C144" s="2" t="s">
        <v>195</v>
      </c>
    </row>
    <row r="145" spans="1:3" x14ac:dyDescent="0.25">
      <c r="A145" s="4" t="s">
        <v>154</v>
      </c>
      <c r="B145" s="1" t="s">
        <v>1</v>
      </c>
      <c r="C145" s="2">
        <v>0</v>
      </c>
    </row>
    <row r="146" spans="1:3" x14ac:dyDescent="0.25">
      <c r="A146" s="4" t="s">
        <v>153</v>
      </c>
      <c r="B146" s="1" t="s">
        <v>1</v>
      </c>
      <c r="C146" s="2">
        <v>1</v>
      </c>
    </row>
    <row r="147" spans="1:3" x14ac:dyDescent="0.25">
      <c r="A147" s="4" t="s">
        <v>152</v>
      </c>
      <c r="B147" s="1" t="s">
        <v>1</v>
      </c>
      <c r="C147" s="2" t="s">
        <v>282</v>
      </c>
    </row>
    <row r="148" spans="1:3" x14ac:dyDescent="0.25">
      <c r="A148" s="4" t="s">
        <v>122</v>
      </c>
      <c r="B148" s="1" t="s">
        <v>1</v>
      </c>
      <c r="C148" s="2" t="s">
        <v>283</v>
      </c>
    </row>
    <row r="150" spans="1:3" s="7" customFormat="1" ht="15.75" x14ac:dyDescent="0.3">
      <c r="A150" s="5" t="s">
        <v>284</v>
      </c>
      <c r="B150" s="5"/>
      <c r="C150" s="6"/>
    </row>
    <row r="151" spans="1:3" x14ac:dyDescent="0.25">
      <c r="A151" s="4" t="s">
        <v>156</v>
      </c>
      <c r="B151" s="1" t="s">
        <v>1</v>
      </c>
      <c r="C151" s="2" t="s">
        <v>195</v>
      </c>
    </row>
    <row r="152" spans="1:3" x14ac:dyDescent="0.25">
      <c r="A152" s="4" t="s">
        <v>154</v>
      </c>
      <c r="B152" s="1" t="s">
        <v>1</v>
      </c>
      <c r="C152" s="2">
        <v>0</v>
      </c>
    </row>
    <row r="153" spans="1:3" x14ac:dyDescent="0.25">
      <c r="A153" s="4" t="s">
        <v>153</v>
      </c>
      <c r="B153" s="1" t="s">
        <v>1</v>
      </c>
      <c r="C153" s="2">
        <v>3</v>
      </c>
    </row>
    <row r="154" spans="1:3" x14ac:dyDescent="0.25">
      <c r="A154" s="4" t="s">
        <v>152</v>
      </c>
      <c r="B154" s="1" t="s">
        <v>1</v>
      </c>
      <c r="C154" s="2" t="s">
        <v>285</v>
      </c>
    </row>
    <row r="155" spans="1:3" x14ac:dyDescent="0.25">
      <c r="A155" s="4" t="s">
        <v>151</v>
      </c>
      <c r="B155" s="1" t="s">
        <v>1</v>
      </c>
      <c r="C155" s="2" t="s">
        <v>919</v>
      </c>
    </row>
    <row r="156" spans="1:3" x14ac:dyDescent="0.25">
      <c r="A156" s="4" t="s">
        <v>150</v>
      </c>
      <c r="B156" s="1" t="s">
        <v>1</v>
      </c>
      <c r="C156" s="2" t="s">
        <v>908</v>
      </c>
    </row>
    <row r="157" spans="1:3" x14ac:dyDescent="0.25">
      <c r="A157" s="4" t="s">
        <v>122</v>
      </c>
      <c r="B157" s="1" t="s">
        <v>1</v>
      </c>
      <c r="C157" s="2" t="s">
        <v>286</v>
      </c>
    </row>
    <row r="158" spans="1:3" x14ac:dyDescent="0.25">
      <c r="A158" s="4" t="s">
        <v>121</v>
      </c>
      <c r="B158" s="1" t="s">
        <v>1</v>
      </c>
      <c r="C158" s="2" t="s">
        <v>287</v>
      </c>
    </row>
    <row r="159" spans="1:3" x14ac:dyDescent="0.25">
      <c r="A159" s="4" t="s">
        <v>120</v>
      </c>
      <c r="B159" s="1" t="s">
        <v>1</v>
      </c>
      <c r="C159" s="2" t="s">
        <v>271</v>
      </c>
    </row>
    <row r="161" spans="1:3" s="7" customFormat="1" ht="15.75" x14ac:dyDescent="0.3">
      <c r="A161" s="5" t="s">
        <v>288</v>
      </c>
      <c r="B161" s="5"/>
      <c r="C161" s="6"/>
    </row>
    <row r="162" spans="1:3" x14ac:dyDescent="0.25">
      <c r="A162" s="4" t="s">
        <v>156</v>
      </c>
      <c r="B162" s="1" t="s">
        <v>1</v>
      </c>
      <c r="C162" s="2" t="s">
        <v>289</v>
      </c>
    </row>
    <row r="163" spans="1:3" x14ac:dyDescent="0.25">
      <c r="A163" s="4" t="s">
        <v>154</v>
      </c>
      <c r="B163" s="1" t="s">
        <v>1</v>
      </c>
      <c r="C163" s="2">
        <v>0</v>
      </c>
    </row>
    <row r="164" spans="1:3" x14ac:dyDescent="0.25">
      <c r="A164" s="4" t="s">
        <v>153</v>
      </c>
      <c r="B164" s="1" t="s">
        <v>1</v>
      </c>
      <c r="C164" s="2">
        <v>3</v>
      </c>
    </row>
    <row r="165" spans="1:3" x14ac:dyDescent="0.25">
      <c r="A165" s="4" t="s">
        <v>152</v>
      </c>
      <c r="B165" s="1" t="s">
        <v>1</v>
      </c>
      <c r="C165" s="2" t="s">
        <v>915</v>
      </c>
    </row>
    <row r="166" spans="1:3" x14ac:dyDescent="0.25">
      <c r="A166" s="4" t="s">
        <v>151</v>
      </c>
      <c r="B166" s="1" t="s">
        <v>1</v>
      </c>
      <c r="C166" s="2" t="s">
        <v>916</v>
      </c>
    </row>
    <row r="167" spans="1:3" x14ac:dyDescent="0.25">
      <c r="A167" s="4" t="s">
        <v>150</v>
      </c>
      <c r="B167" s="1" t="s">
        <v>1</v>
      </c>
      <c r="C167" s="2" t="s">
        <v>912</v>
      </c>
    </row>
    <row r="168" spans="1:3" x14ac:dyDescent="0.25">
      <c r="A168" s="4" t="s">
        <v>122</v>
      </c>
      <c r="B168" s="1" t="s">
        <v>1</v>
      </c>
      <c r="C168" s="2" t="s">
        <v>265</v>
      </c>
    </row>
    <row r="169" spans="1:3" x14ac:dyDescent="0.25">
      <c r="A169" s="4" t="s">
        <v>121</v>
      </c>
      <c r="B169" s="1" t="s">
        <v>1</v>
      </c>
      <c r="C169" s="2" t="s">
        <v>290</v>
      </c>
    </row>
    <row r="170" spans="1:3" x14ac:dyDescent="0.25">
      <c r="A170" s="4" t="s">
        <v>120</v>
      </c>
      <c r="B170" s="1" t="s">
        <v>1</v>
      </c>
      <c r="C170" s="2" t="s">
        <v>857</v>
      </c>
    </row>
    <row r="172" spans="1:3" s="7" customFormat="1" ht="15.75" x14ac:dyDescent="0.3">
      <c r="A172" s="5" t="s">
        <v>291</v>
      </c>
      <c r="B172" s="5"/>
      <c r="C172" s="6"/>
    </row>
    <row r="173" spans="1:3" x14ac:dyDescent="0.25">
      <c r="A173" s="4" t="s">
        <v>267</v>
      </c>
      <c r="B173" s="1" t="s">
        <v>1</v>
      </c>
      <c r="C173" s="2" t="s">
        <v>275</v>
      </c>
    </row>
    <row r="174" spans="1:3" x14ac:dyDescent="0.25">
      <c r="A174" s="4" t="s">
        <v>156</v>
      </c>
      <c r="B174" s="1" t="s">
        <v>1</v>
      </c>
      <c r="C174" s="2" t="s">
        <v>195</v>
      </c>
    </row>
    <row r="175" spans="1:3" x14ac:dyDescent="0.25">
      <c r="A175" s="4" t="s">
        <v>154</v>
      </c>
      <c r="B175" s="1" t="s">
        <v>1</v>
      </c>
      <c r="C175" s="2">
        <v>0</v>
      </c>
    </row>
    <row r="176" spans="1:3" x14ac:dyDescent="0.25">
      <c r="A176" s="4" t="s">
        <v>153</v>
      </c>
      <c r="B176" s="1" t="s">
        <v>1</v>
      </c>
      <c r="C176" s="2">
        <v>1</v>
      </c>
    </row>
    <row r="177" spans="1:3" x14ac:dyDescent="0.25">
      <c r="A177" s="4" t="s">
        <v>152</v>
      </c>
      <c r="B177" s="1" t="s">
        <v>1</v>
      </c>
      <c r="C177" s="2" t="s">
        <v>292</v>
      </c>
    </row>
    <row r="178" spans="1:3" x14ac:dyDescent="0.25">
      <c r="A178" s="4" t="s">
        <v>122</v>
      </c>
      <c r="B178" s="1" t="s">
        <v>1</v>
      </c>
      <c r="C178" s="2" t="s">
        <v>293</v>
      </c>
    </row>
    <row r="180" spans="1:3" s="7" customFormat="1" ht="15.75" x14ac:dyDescent="0.3">
      <c r="A180" s="5" t="s">
        <v>294</v>
      </c>
      <c r="B180" s="5"/>
      <c r="C180" s="6"/>
    </row>
    <row r="181" spans="1:3" x14ac:dyDescent="0.25">
      <c r="A181" s="4" t="s">
        <v>156</v>
      </c>
      <c r="B181" s="1" t="s">
        <v>1</v>
      </c>
      <c r="C181" s="2" t="s">
        <v>195</v>
      </c>
    </row>
    <row r="182" spans="1:3" x14ac:dyDescent="0.25">
      <c r="A182" s="4" t="s">
        <v>154</v>
      </c>
      <c r="B182" s="1" t="s">
        <v>1</v>
      </c>
      <c r="C182" s="2">
        <v>0</v>
      </c>
    </row>
    <row r="183" spans="1:3" x14ac:dyDescent="0.25">
      <c r="A183" s="4" t="s">
        <v>153</v>
      </c>
      <c r="B183" s="1" t="s">
        <v>1</v>
      </c>
      <c r="C183" s="2">
        <v>3</v>
      </c>
    </row>
    <row r="184" spans="1:3" x14ac:dyDescent="0.25">
      <c r="A184" s="4" t="s">
        <v>152</v>
      </c>
      <c r="B184" s="1" t="s">
        <v>1</v>
      </c>
      <c r="C184" s="2" t="s">
        <v>913</v>
      </c>
    </row>
    <row r="185" spans="1:3" x14ac:dyDescent="0.25">
      <c r="A185" s="4" t="s">
        <v>151</v>
      </c>
      <c r="B185" s="1" t="s">
        <v>1</v>
      </c>
      <c r="C185" s="2" t="s">
        <v>914</v>
      </c>
    </row>
    <row r="186" spans="1:3" x14ac:dyDescent="0.25">
      <c r="A186" s="4" t="s">
        <v>150</v>
      </c>
      <c r="B186" s="1" t="s">
        <v>1</v>
      </c>
      <c r="C186" s="2" t="s">
        <v>908</v>
      </c>
    </row>
    <row r="187" spans="1:3" x14ac:dyDescent="0.25">
      <c r="A187" s="4" t="s">
        <v>122</v>
      </c>
      <c r="B187" s="1" t="s">
        <v>1</v>
      </c>
      <c r="C187" s="2" t="s">
        <v>295</v>
      </c>
    </row>
    <row r="188" spans="1:3" x14ac:dyDescent="0.25">
      <c r="A188" s="4" t="s">
        <v>121</v>
      </c>
      <c r="B188" s="1" t="s">
        <v>1</v>
      </c>
      <c r="C188" s="2" t="s">
        <v>296</v>
      </c>
    </row>
    <row r="189" spans="1:3" x14ac:dyDescent="0.25">
      <c r="A189" s="4" t="s">
        <v>120</v>
      </c>
      <c r="B189" s="1" t="s">
        <v>1</v>
      </c>
      <c r="C189" s="2" t="s">
        <v>271</v>
      </c>
    </row>
    <row r="191" spans="1:3" s="7" customFormat="1" ht="15.75" x14ac:dyDescent="0.3">
      <c r="A191" s="5" t="s">
        <v>297</v>
      </c>
      <c r="B191" s="5"/>
      <c r="C191" s="6"/>
    </row>
    <row r="192" spans="1:3" x14ac:dyDescent="0.25">
      <c r="A192" s="4" t="s">
        <v>156</v>
      </c>
      <c r="B192" s="1" t="s">
        <v>1</v>
      </c>
      <c r="C192" s="2" t="s">
        <v>298</v>
      </c>
    </row>
    <row r="193" spans="1:3" x14ac:dyDescent="0.25">
      <c r="A193" s="4" t="s">
        <v>154</v>
      </c>
      <c r="B193" s="1" t="s">
        <v>1</v>
      </c>
      <c r="C193" s="2">
        <v>0</v>
      </c>
    </row>
    <row r="194" spans="1:3" x14ac:dyDescent="0.25">
      <c r="A194" s="4" t="s">
        <v>153</v>
      </c>
      <c r="B194" s="1" t="s">
        <v>1</v>
      </c>
      <c r="C194" s="2">
        <v>0</v>
      </c>
    </row>
    <row r="195" spans="1:3" x14ac:dyDescent="0.25">
      <c r="A195" s="4" t="s">
        <v>152</v>
      </c>
      <c r="B195" s="1" t="s">
        <v>1</v>
      </c>
      <c r="C195" s="2" t="s">
        <v>195</v>
      </c>
    </row>
    <row r="196" spans="1:3" x14ac:dyDescent="0.25">
      <c r="A196" s="4" t="s">
        <v>122</v>
      </c>
      <c r="B196" s="1" t="s">
        <v>1</v>
      </c>
      <c r="C196" s="2" t="s">
        <v>299</v>
      </c>
    </row>
    <row r="198" spans="1:3" s="7" customFormat="1" ht="15.75" x14ac:dyDescent="0.3">
      <c r="A198" s="5" t="s">
        <v>300</v>
      </c>
      <c r="B198" s="5"/>
      <c r="C198" s="6"/>
    </row>
    <row r="199" spans="1:3" x14ac:dyDescent="0.25">
      <c r="A199" s="4" t="s">
        <v>156</v>
      </c>
      <c r="B199" s="1" t="s">
        <v>1</v>
      </c>
      <c r="C199" s="2" t="s">
        <v>301</v>
      </c>
    </row>
    <row r="200" spans="1:3" x14ac:dyDescent="0.25">
      <c r="A200" s="4" t="s">
        <v>154</v>
      </c>
      <c r="B200" s="1" t="s">
        <v>1</v>
      </c>
      <c r="C200" s="2">
        <v>0</v>
      </c>
    </row>
    <row r="201" spans="1:3" x14ac:dyDescent="0.25">
      <c r="A201" s="4" t="s">
        <v>153</v>
      </c>
      <c r="B201" s="1" t="s">
        <v>1</v>
      </c>
      <c r="C201" s="2">
        <v>0</v>
      </c>
    </row>
    <row r="202" spans="1:3" x14ac:dyDescent="0.25">
      <c r="A202" s="4" t="s">
        <v>152</v>
      </c>
      <c r="B202" s="1" t="s">
        <v>1</v>
      </c>
      <c r="C202" s="2" t="s">
        <v>195</v>
      </c>
    </row>
    <row r="203" spans="1:3" x14ac:dyDescent="0.25">
      <c r="A203" s="4" t="s">
        <v>122</v>
      </c>
      <c r="B203" s="1" t="s">
        <v>1</v>
      </c>
      <c r="C203" s="2" t="s">
        <v>299</v>
      </c>
    </row>
    <row r="205" spans="1:3" s="7" customFormat="1" ht="15.75" x14ac:dyDescent="0.3">
      <c r="A205" s="5" t="s">
        <v>302</v>
      </c>
      <c r="B205" s="5"/>
      <c r="C205" s="6"/>
    </row>
    <row r="206" spans="1:3" x14ac:dyDescent="0.25">
      <c r="A206" s="4" t="s">
        <v>156</v>
      </c>
      <c r="B206" s="1" t="s">
        <v>1</v>
      </c>
      <c r="C206" s="2" t="s">
        <v>195</v>
      </c>
    </row>
    <row r="207" spans="1:3" x14ac:dyDescent="0.25">
      <c r="A207" s="4" t="s">
        <v>154</v>
      </c>
      <c r="B207" s="1" t="s">
        <v>1</v>
      </c>
      <c r="C207" s="2">
        <v>1</v>
      </c>
    </row>
    <row r="208" spans="1:3" x14ac:dyDescent="0.25">
      <c r="A208" s="4" t="s">
        <v>153</v>
      </c>
      <c r="B208" s="1" t="s">
        <v>1</v>
      </c>
      <c r="C208" s="2">
        <v>1</v>
      </c>
    </row>
    <row r="209" spans="1:3" x14ac:dyDescent="0.25">
      <c r="A209" s="4" t="s">
        <v>152</v>
      </c>
      <c r="B209" s="1" t="s">
        <v>1</v>
      </c>
      <c r="C209" s="2" t="s">
        <v>303</v>
      </c>
    </row>
    <row r="210" spans="1:3" x14ac:dyDescent="0.25">
      <c r="A210" s="4" t="s">
        <v>122</v>
      </c>
      <c r="B210" s="1" t="s">
        <v>1</v>
      </c>
      <c r="C210" s="2" t="s">
        <v>304</v>
      </c>
    </row>
    <row r="212" spans="1:3" s="7" customFormat="1" ht="15.75" x14ac:dyDescent="0.3">
      <c r="A212" s="5" t="s">
        <v>305</v>
      </c>
      <c r="B212" s="5"/>
      <c r="C212" s="6"/>
    </row>
    <row r="213" spans="1:3" x14ac:dyDescent="0.25">
      <c r="A213" s="4" t="s">
        <v>306</v>
      </c>
      <c r="B213" s="1" t="s">
        <v>1</v>
      </c>
      <c r="C213" s="2" t="s">
        <v>80</v>
      </c>
    </row>
    <row r="214" spans="1:3" x14ac:dyDescent="0.25">
      <c r="A214" s="4" t="s">
        <v>156</v>
      </c>
      <c r="B214" s="1" t="s">
        <v>1</v>
      </c>
      <c r="C214" s="2" t="s">
        <v>195</v>
      </c>
    </row>
    <row r="215" spans="1:3" x14ac:dyDescent="0.25">
      <c r="A215" s="4" t="s">
        <v>154</v>
      </c>
      <c r="B215" s="1" t="s">
        <v>1</v>
      </c>
      <c r="C215" s="2">
        <v>4</v>
      </c>
    </row>
    <row r="216" spans="1:3" x14ac:dyDescent="0.25">
      <c r="A216" s="4" t="s">
        <v>153</v>
      </c>
      <c r="B216" s="1" t="s">
        <v>1</v>
      </c>
      <c r="C216" s="2">
        <v>4</v>
      </c>
    </row>
    <row r="217" spans="1:3" x14ac:dyDescent="0.25">
      <c r="A217" s="4" t="s">
        <v>152</v>
      </c>
      <c r="B217" s="1" t="s">
        <v>1</v>
      </c>
      <c r="C217" s="2" t="s">
        <v>307</v>
      </c>
    </row>
    <row r="218" spans="1:3" x14ac:dyDescent="0.25">
      <c r="A218" s="4" t="s">
        <v>122</v>
      </c>
      <c r="B218" s="1" t="s">
        <v>1</v>
      </c>
      <c r="C218" s="2" t="s">
        <v>308</v>
      </c>
    </row>
    <row r="219" spans="1:3" x14ac:dyDescent="0.25">
      <c r="A219" s="4" t="s">
        <v>121</v>
      </c>
      <c r="B219" s="1" t="s">
        <v>1</v>
      </c>
      <c r="C219" s="2" t="s">
        <v>309</v>
      </c>
    </row>
    <row r="220" spans="1:3" x14ac:dyDescent="0.25">
      <c r="A220" s="4" t="s">
        <v>120</v>
      </c>
      <c r="B220" s="1" t="s">
        <v>1</v>
      </c>
      <c r="C220" s="2" t="s">
        <v>310</v>
      </c>
    </row>
    <row r="221" spans="1:3" x14ac:dyDescent="0.25">
      <c r="A221" s="4" t="s">
        <v>119</v>
      </c>
      <c r="B221" s="1" t="s">
        <v>1</v>
      </c>
      <c r="C221" s="2" t="s">
        <v>311</v>
      </c>
    </row>
    <row r="223" spans="1:3" s="7" customFormat="1" ht="15.75" x14ac:dyDescent="0.3">
      <c r="A223" s="5" t="s">
        <v>312</v>
      </c>
      <c r="B223" s="5"/>
      <c r="C223" s="6"/>
    </row>
    <row r="224" spans="1:3" x14ac:dyDescent="0.25">
      <c r="A224" s="4" t="s">
        <v>156</v>
      </c>
      <c r="B224" s="1" t="s">
        <v>1</v>
      </c>
      <c r="C224" s="2" t="s">
        <v>195</v>
      </c>
    </row>
    <row r="225" spans="1:3" x14ac:dyDescent="0.25">
      <c r="A225" s="4" t="s">
        <v>154</v>
      </c>
      <c r="B225" s="1" t="s">
        <v>1</v>
      </c>
      <c r="C225" s="2">
        <v>1</v>
      </c>
    </row>
    <row r="226" spans="1:3" x14ac:dyDescent="0.25">
      <c r="A226" s="4" t="s">
        <v>153</v>
      </c>
      <c r="B226" s="1" t="s">
        <v>1</v>
      </c>
      <c r="C226" s="2">
        <v>1</v>
      </c>
    </row>
    <row r="227" spans="1:3" x14ac:dyDescent="0.25">
      <c r="A227" s="4" t="s">
        <v>152</v>
      </c>
      <c r="B227" s="1" t="s">
        <v>1</v>
      </c>
      <c r="C227" s="2" t="s">
        <v>313</v>
      </c>
    </row>
    <row r="228" spans="1:3" x14ac:dyDescent="0.25">
      <c r="A228" s="4" t="s">
        <v>122</v>
      </c>
      <c r="B228" s="1" t="s">
        <v>1</v>
      </c>
      <c r="C228" s="2" t="s">
        <v>314</v>
      </c>
    </row>
    <row r="230" spans="1:3" s="7" customFormat="1" ht="15.75" x14ac:dyDescent="0.3">
      <c r="A230" s="5" t="s">
        <v>315</v>
      </c>
      <c r="B230" s="5"/>
      <c r="C230" s="6"/>
    </row>
    <row r="231" spans="1:3" x14ac:dyDescent="0.25">
      <c r="A231" s="4" t="s">
        <v>156</v>
      </c>
      <c r="B231" s="1" t="s">
        <v>1</v>
      </c>
      <c r="C231" s="2" t="s">
        <v>195</v>
      </c>
    </row>
    <row r="232" spans="1:3" x14ac:dyDescent="0.25">
      <c r="A232" s="4" t="s">
        <v>154</v>
      </c>
      <c r="B232" s="1" t="s">
        <v>1</v>
      </c>
      <c r="C232" s="2">
        <v>3</v>
      </c>
    </row>
    <row r="233" spans="1:3" x14ac:dyDescent="0.25">
      <c r="A233" s="4" t="s">
        <v>153</v>
      </c>
      <c r="B233" s="1" t="s">
        <v>1</v>
      </c>
      <c r="C233" s="2">
        <v>3</v>
      </c>
    </row>
    <row r="234" spans="1:3" x14ac:dyDescent="0.25">
      <c r="A234" s="4" t="s">
        <v>152</v>
      </c>
      <c r="B234" s="1" t="s">
        <v>1</v>
      </c>
      <c r="C234" s="2" t="s">
        <v>316</v>
      </c>
    </row>
    <row r="235" spans="1:3" x14ac:dyDescent="0.25">
      <c r="A235" s="4" t="s">
        <v>122</v>
      </c>
      <c r="B235" s="1" t="s">
        <v>1</v>
      </c>
      <c r="C235" s="2" t="s">
        <v>317</v>
      </c>
    </row>
    <row r="236" spans="1:3" x14ac:dyDescent="0.25">
      <c r="A236" s="4" t="s">
        <v>121</v>
      </c>
      <c r="B236" s="1" t="s">
        <v>1</v>
      </c>
      <c r="C236" s="2" t="s">
        <v>318</v>
      </c>
    </row>
    <row r="237" spans="1:3" x14ac:dyDescent="0.25">
      <c r="A237" s="4" t="s">
        <v>120</v>
      </c>
      <c r="B237" s="1" t="s">
        <v>1</v>
      </c>
      <c r="C237" s="2" t="s">
        <v>319</v>
      </c>
    </row>
    <row r="239" spans="1:3" s="7" customFormat="1" ht="15.75" x14ac:dyDescent="0.3">
      <c r="A239" s="5" t="s">
        <v>320</v>
      </c>
      <c r="B239" s="5"/>
      <c r="C239" s="6"/>
    </row>
    <row r="240" spans="1:3" x14ac:dyDescent="0.25">
      <c r="A240" s="4" t="s">
        <v>156</v>
      </c>
      <c r="B240" s="1" t="s">
        <v>1</v>
      </c>
      <c r="C240" s="2" t="s">
        <v>195</v>
      </c>
    </row>
    <row r="241" spans="1:3" x14ac:dyDescent="0.25">
      <c r="A241" s="4" t="s">
        <v>154</v>
      </c>
      <c r="B241" s="1" t="s">
        <v>1</v>
      </c>
      <c r="C241" s="2">
        <v>3</v>
      </c>
    </row>
    <row r="242" spans="1:3" x14ac:dyDescent="0.25">
      <c r="A242" s="4" t="s">
        <v>153</v>
      </c>
      <c r="B242" s="1" t="s">
        <v>1</v>
      </c>
      <c r="C242" s="2">
        <v>3</v>
      </c>
    </row>
    <row r="243" spans="1:3" x14ac:dyDescent="0.25">
      <c r="A243" s="4" t="s">
        <v>152</v>
      </c>
      <c r="B243" s="1" t="s">
        <v>1</v>
      </c>
      <c r="C243" s="2" t="s">
        <v>321</v>
      </c>
    </row>
    <row r="244" spans="1:3" x14ac:dyDescent="0.25">
      <c r="A244" s="4" t="s">
        <v>122</v>
      </c>
      <c r="B244" s="1" t="s">
        <v>1</v>
      </c>
      <c r="C244" s="2" t="s">
        <v>322</v>
      </c>
    </row>
    <row r="245" spans="1:3" x14ac:dyDescent="0.25">
      <c r="A245" s="4" t="s">
        <v>121</v>
      </c>
      <c r="B245" s="1" t="s">
        <v>1</v>
      </c>
      <c r="C245" s="2" t="s">
        <v>323</v>
      </c>
    </row>
    <row r="246" spans="1:3" x14ac:dyDescent="0.25">
      <c r="A246" s="4" t="s">
        <v>120</v>
      </c>
      <c r="B246" s="1" t="s">
        <v>1</v>
      </c>
      <c r="C246" s="2" t="s">
        <v>324</v>
      </c>
    </row>
    <row r="248" spans="1:3" s="7" customFormat="1" ht="15.75" x14ac:dyDescent="0.3">
      <c r="A248" s="5" t="s">
        <v>325</v>
      </c>
      <c r="B248" s="5"/>
      <c r="C248" s="6"/>
    </row>
    <row r="249" spans="1:3" x14ac:dyDescent="0.25">
      <c r="A249" s="4" t="s">
        <v>156</v>
      </c>
      <c r="B249" s="1" t="s">
        <v>1</v>
      </c>
      <c r="C249" s="2" t="s">
        <v>195</v>
      </c>
    </row>
    <row r="250" spans="1:3" x14ac:dyDescent="0.25">
      <c r="A250" s="4" t="s">
        <v>154</v>
      </c>
      <c r="B250" s="1" t="s">
        <v>1</v>
      </c>
      <c r="C250" s="2">
        <v>1</v>
      </c>
    </row>
    <row r="251" spans="1:3" x14ac:dyDescent="0.25">
      <c r="A251" s="4" t="s">
        <v>153</v>
      </c>
      <c r="B251" s="1" t="s">
        <v>1</v>
      </c>
      <c r="C251" s="2">
        <v>1</v>
      </c>
    </row>
    <row r="252" spans="1:3" x14ac:dyDescent="0.25">
      <c r="A252" s="4" t="s">
        <v>152</v>
      </c>
      <c r="B252" s="1" t="s">
        <v>1</v>
      </c>
      <c r="C252" s="2" t="s">
        <v>326</v>
      </c>
    </row>
    <row r="253" spans="1:3" x14ac:dyDescent="0.25">
      <c r="A253" s="4" t="s">
        <v>122</v>
      </c>
      <c r="B253" s="1" t="s">
        <v>1</v>
      </c>
      <c r="C253" s="2" t="s">
        <v>327</v>
      </c>
    </row>
    <row r="255" spans="1:3" s="7" customFormat="1" ht="15.75" x14ac:dyDescent="0.3">
      <c r="A255" s="5" t="s">
        <v>328</v>
      </c>
      <c r="B255" s="5"/>
      <c r="C255" s="6"/>
    </row>
    <row r="256" spans="1:3" x14ac:dyDescent="0.25">
      <c r="A256" s="4" t="s">
        <v>156</v>
      </c>
      <c r="B256" s="1" t="s">
        <v>1</v>
      </c>
      <c r="C256" s="2" t="s">
        <v>195</v>
      </c>
    </row>
    <row r="257" spans="1:3" x14ac:dyDescent="0.25">
      <c r="A257" s="4" t="s">
        <v>154</v>
      </c>
      <c r="B257" s="1" t="s">
        <v>1</v>
      </c>
      <c r="C257" s="2">
        <v>1</v>
      </c>
    </row>
    <row r="258" spans="1:3" x14ac:dyDescent="0.25">
      <c r="A258" s="4" t="s">
        <v>153</v>
      </c>
      <c r="B258" s="1" t="s">
        <v>1</v>
      </c>
      <c r="C258" s="2">
        <v>1</v>
      </c>
    </row>
    <row r="259" spans="1:3" x14ac:dyDescent="0.25">
      <c r="A259" s="4" t="s">
        <v>152</v>
      </c>
      <c r="B259" s="1" t="s">
        <v>1</v>
      </c>
      <c r="C259" s="2" t="s">
        <v>329</v>
      </c>
    </row>
    <row r="260" spans="1:3" x14ac:dyDescent="0.25">
      <c r="A260" s="4" t="s">
        <v>122</v>
      </c>
      <c r="B260" s="1" t="s">
        <v>1</v>
      </c>
      <c r="C260" s="2" t="s">
        <v>330</v>
      </c>
    </row>
    <row r="262" spans="1:3" s="7" customFormat="1" ht="15.75" x14ac:dyDescent="0.3">
      <c r="A262" s="5" t="s">
        <v>331</v>
      </c>
      <c r="B262" s="5"/>
      <c r="C262" s="6"/>
    </row>
    <row r="263" spans="1:3" x14ac:dyDescent="0.25">
      <c r="A263" s="4" t="s">
        <v>156</v>
      </c>
      <c r="B263" s="1" t="s">
        <v>1</v>
      </c>
      <c r="C263" s="2" t="s">
        <v>195</v>
      </c>
    </row>
    <row r="264" spans="1:3" x14ac:dyDescent="0.25">
      <c r="A264" s="4" t="s">
        <v>154</v>
      </c>
      <c r="B264" s="1" t="s">
        <v>1</v>
      </c>
      <c r="C264" s="2">
        <v>1</v>
      </c>
    </row>
    <row r="265" spans="1:3" x14ac:dyDescent="0.25">
      <c r="A265" s="4" t="s">
        <v>153</v>
      </c>
      <c r="B265" s="1" t="s">
        <v>1</v>
      </c>
      <c r="C265" s="2">
        <v>1</v>
      </c>
    </row>
    <row r="266" spans="1:3" x14ac:dyDescent="0.25">
      <c r="A266" s="4" t="s">
        <v>152</v>
      </c>
      <c r="B266" s="1" t="s">
        <v>1</v>
      </c>
      <c r="C266" s="2" t="s">
        <v>332</v>
      </c>
    </row>
    <row r="267" spans="1:3" x14ac:dyDescent="0.25">
      <c r="A267" s="4" t="s">
        <v>122</v>
      </c>
      <c r="B267" s="1" t="s">
        <v>1</v>
      </c>
      <c r="C267" s="2" t="s">
        <v>333</v>
      </c>
    </row>
    <row r="269" spans="1:3" s="7" customFormat="1" ht="15.75" x14ac:dyDescent="0.3">
      <c r="A269" s="5" t="s">
        <v>334</v>
      </c>
      <c r="B269" s="5"/>
      <c r="C269" s="6"/>
    </row>
    <row r="270" spans="1:3" x14ac:dyDescent="0.25">
      <c r="A270" s="4" t="s">
        <v>156</v>
      </c>
      <c r="B270" s="1" t="s">
        <v>1</v>
      </c>
      <c r="C270" s="2" t="s">
        <v>195</v>
      </c>
    </row>
    <row r="271" spans="1:3" x14ac:dyDescent="0.25">
      <c r="A271" s="4" t="s">
        <v>154</v>
      </c>
      <c r="B271" s="1" t="s">
        <v>1</v>
      </c>
      <c r="C271" s="2">
        <v>4</v>
      </c>
    </row>
    <row r="272" spans="1:3" x14ac:dyDescent="0.25">
      <c r="A272" s="4" t="s">
        <v>153</v>
      </c>
      <c r="B272" s="1" t="s">
        <v>1</v>
      </c>
      <c r="C272" s="2">
        <v>4</v>
      </c>
    </row>
    <row r="273" spans="1:3" x14ac:dyDescent="0.25">
      <c r="A273" s="4" t="s">
        <v>152</v>
      </c>
      <c r="B273" s="1" t="s">
        <v>1</v>
      </c>
      <c r="C273" s="2" t="s">
        <v>335</v>
      </c>
    </row>
    <row r="274" spans="1:3" x14ac:dyDescent="0.25">
      <c r="A274" s="4" t="s">
        <v>122</v>
      </c>
      <c r="B274" s="1" t="s">
        <v>1</v>
      </c>
      <c r="C274" s="2" t="s">
        <v>336</v>
      </c>
    </row>
    <row r="275" spans="1:3" x14ac:dyDescent="0.25">
      <c r="A275" s="4" t="s">
        <v>121</v>
      </c>
      <c r="B275" s="1" t="s">
        <v>1</v>
      </c>
      <c r="C275" s="2" t="s">
        <v>337</v>
      </c>
    </row>
    <row r="276" spans="1:3" x14ac:dyDescent="0.25">
      <c r="A276" s="4" t="s">
        <v>120</v>
      </c>
      <c r="B276" s="1" t="s">
        <v>1</v>
      </c>
      <c r="C276" s="2" t="s">
        <v>338</v>
      </c>
    </row>
    <row r="277" spans="1:3" x14ac:dyDescent="0.25">
      <c r="A277" s="4" t="s">
        <v>119</v>
      </c>
      <c r="B277" s="1" t="s">
        <v>1</v>
      </c>
      <c r="C277" s="2" t="s">
        <v>339</v>
      </c>
    </row>
    <row r="279" spans="1:3" s="7" customFormat="1" ht="15.75" x14ac:dyDescent="0.3">
      <c r="A279" s="5" t="s">
        <v>340</v>
      </c>
      <c r="B279" s="5"/>
      <c r="C279" s="6"/>
    </row>
    <row r="280" spans="1:3" x14ac:dyDescent="0.25">
      <c r="A280" s="4" t="s">
        <v>156</v>
      </c>
      <c r="B280" s="1" t="s">
        <v>1</v>
      </c>
      <c r="C280" s="2" t="s">
        <v>195</v>
      </c>
    </row>
    <row r="281" spans="1:3" x14ac:dyDescent="0.25">
      <c r="A281" s="4" t="s">
        <v>154</v>
      </c>
      <c r="B281" s="1" t="s">
        <v>1</v>
      </c>
      <c r="C281" s="2">
        <v>1</v>
      </c>
    </row>
    <row r="282" spans="1:3" x14ac:dyDescent="0.25">
      <c r="A282" s="4" t="s">
        <v>153</v>
      </c>
      <c r="B282" s="1" t="s">
        <v>1</v>
      </c>
      <c r="C282" s="2">
        <v>1</v>
      </c>
    </row>
    <row r="283" spans="1:3" x14ac:dyDescent="0.25">
      <c r="A283" s="4" t="s">
        <v>152</v>
      </c>
      <c r="B283" s="1" t="s">
        <v>1</v>
      </c>
      <c r="C283" s="2" t="s">
        <v>341</v>
      </c>
    </row>
    <row r="284" spans="1:3" x14ac:dyDescent="0.25">
      <c r="A284" s="4" t="s">
        <v>122</v>
      </c>
      <c r="B284" s="1" t="s">
        <v>1</v>
      </c>
      <c r="C284" s="2" t="s">
        <v>342</v>
      </c>
    </row>
    <row r="286" spans="1:3" s="7" customFormat="1" ht="15.75" x14ac:dyDescent="0.3">
      <c r="A286" s="5" t="s">
        <v>343</v>
      </c>
      <c r="B286" s="5"/>
      <c r="C286" s="6"/>
    </row>
    <row r="287" spans="1:3" x14ac:dyDescent="0.25">
      <c r="A287" s="4" t="s">
        <v>156</v>
      </c>
      <c r="B287" s="1" t="s">
        <v>1</v>
      </c>
      <c r="C287" s="2" t="s">
        <v>195</v>
      </c>
    </row>
    <row r="288" spans="1:3" x14ac:dyDescent="0.25">
      <c r="A288" s="4" t="s">
        <v>154</v>
      </c>
      <c r="B288" s="1" t="s">
        <v>1</v>
      </c>
      <c r="C288" s="2">
        <v>3</v>
      </c>
    </row>
    <row r="289" spans="1:3" x14ac:dyDescent="0.25">
      <c r="A289" s="4" t="s">
        <v>153</v>
      </c>
      <c r="B289" s="1" t="s">
        <v>1</v>
      </c>
      <c r="C289" s="2">
        <v>3</v>
      </c>
    </row>
    <row r="290" spans="1:3" x14ac:dyDescent="0.25">
      <c r="A290" s="4" t="s">
        <v>152</v>
      </c>
      <c r="B290" s="1" t="s">
        <v>1</v>
      </c>
      <c r="C290" s="2" t="s">
        <v>344</v>
      </c>
    </row>
    <row r="291" spans="1:3" x14ac:dyDescent="0.25">
      <c r="A291" s="4" t="s">
        <v>122</v>
      </c>
      <c r="B291" s="1" t="s">
        <v>1</v>
      </c>
      <c r="C291" s="2" t="s">
        <v>345</v>
      </c>
    </row>
    <row r="292" spans="1:3" x14ac:dyDescent="0.25">
      <c r="A292" s="4" t="s">
        <v>121</v>
      </c>
      <c r="B292" s="1" t="s">
        <v>1</v>
      </c>
      <c r="C292" s="2" t="s">
        <v>346</v>
      </c>
    </row>
    <row r="293" spans="1:3" x14ac:dyDescent="0.25">
      <c r="A293" s="4" t="s">
        <v>120</v>
      </c>
      <c r="B293" s="1" t="s">
        <v>1</v>
      </c>
      <c r="C293" s="2" t="s">
        <v>347</v>
      </c>
    </row>
    <row r="295" spans="1:3" s="7" customFormat="1" ht="15.75" x14ac:dyDescent="0.3">
      <c r="A295" s="5" t="s">
        <v>348</v>
      </c>
      <c r="B295" s="5"/>
      <c r="C295" s="6"/>
    </row>
    <row r="296" spans="1:3" x14ac:dyDescent="0.25">
      <c r="A296" s="4" t="s">
        <v>156</v>
      </c>
      <c r="B296" s="1" t="s">
        <v>1</v>
      </c>
      <c r="C296" s="2" t="s">
        <v>195</v>
      </c>
    </row>
    <row r="297" spans="1:3" x14ac:dyDescent="0.25">
      <c r="A297" s="4" t="s">
        <v>154</v>
      </c>
      <c r="B297" s="1" t="s">
        <v>1</v>
      </c>
      <c r="C297" s="2">
        <v>3</v>
      </c>
    </row>
    <row r="298" spans="1:3" x14ac:dyDescent="0.25">
      <c r="A298" s="4" t="s">
        <v>153</v>
      </c>
      <c r="B298" s="1" t="s">
        <v>1</v>
      </c>
      <c r="C298" s="2">
        <v>3</v>
      </c>
    </row>
    <row r="299" spans="1:3" x14ac:dyDescent="0.25">
      <c r="A299" s="4" t="s">
        <v>349</v>
      </c>
      <c r="B299" s="1" t="s">
        <v>1</v>
      </c>
      <c r="C299" s="2" t="s">
        <v>350</v>
      </c>
    </row>
    <row r="300" spans="1:3" x14ac:dyDescent="0.25">
      <c r="A300" s="4" t="s">
        <v>122</v>
      </c>
      <c r="B300" s="1" t="s">
        <v>1</v>
      </c>
      <c r="C300" s="2" t="s">
        <v>351</v>
      </c>
    </row>
    <row r="301" spans="1:3" x14ac:dyDescent="0.25">
      <c r="A301" s="4" t="s">
        <v>121</v>
      </c>
      <c r="B301" s="1" t="s">
        <v>1</v>
      </c>
      <c r="C301" s="2" t="s">
        <v>352</v>
      </c>
    </row>
    <row r="302" spans="1:3" x14ac:dyDescent="0.25">
      <c r="A302" s="4" t="s">
        <v>120</v>
      </c>
      <c r="B302" s="1" t="s">
        <v>1</v>
      </c>
      <c r="C302" s="2" t="s">
        <v>353</v>
      </c>
    </row>
    <row r="304" spans="1:3" s="7" customFormat="1" ht="15.75" x14ac:dyDescent="0.3">
      <c r="A304" s="5" t="s">
        <v>354</v>
      </c>
      <c r="B304" s="5"/>
      <c r="C304" s="6"/>
    </row>
    <row r="305" spans="1:3" x14ac:dyDescent="0.25">
      <c r="A305" s="4" t="s">
        <v>156</v>
      </c>
      <c r="B305" s="1" t="s">
        <v>1</v>
      </c>
      <c r="C305" s="2" t="s">
        <v>195</v>
      </c>
    </row>
    <row r="306" spans="1:3" x14ac:dyDescent="0.25">
      <c r="A306" s="4" t="s">
        <v>154</v>
      </c>
      <c r="B306" s="1" t="s">
        <v>1</v>
      </c>
      <c r="C306" s="2">
        <v>1</v>
      </c>
    </row>
    <row r="307" spans="1:3" x14ac:dyDescent="0.25">
      <c r="A307" s="4" t="s">
        <v>153</v>
      </c>
      <c r="B307" s="1" t="s">
        <v>1</v>
      </c>
      <c r="C307" s="2">
        <v>1</v>
      </c>
    </row>
    <row r="308" spans="1:3" x14ac:dyDescent="0.25">
      <c r="A308" s="4" t="s">
        <v>152</v>
      </c>
      <c r="B308" s="1" t="s">
        <v>1</v>
      </c>
      <c r="C308" s="2" t="s">
        <v>355</v>
      </c>
    </row>
    <row r="309" spans="1:3" x14ac:dyDescent="0.25">
      <c r="A309" s="4" t="s">
        <v>122</v>
      </c>
      <c r="B309" s="1" t="s">
        <v>1</v>
      </c>
      <c r="C309" s="2" t="s">
        <v>356</v>
      </c>
    </row>
    <row r="311" spans="1:3" s="7" customFormat="1" ht="15.75" x14ac:dyDescent="0.3">
      <c r="A311" s="5" t="s">
        <v>357</v>
      </c>
      <c r="B311" s="5"/>
      <c r="C311" s="6"/>
    </row>
    <row r="312" spans="1:3" x14ac:dyDescent="0.25">
      <c r="A312" s="4" t="s">
        <v>156</v>
      </c>
      <c r="B312" s="1" t="s">
        <v>1</v>
      </c>
      <c r="C312" s="2" t="s">
        <v>195</v>
      </c>
    </row>
    <row r="313" spans="1:3" x14ac:dyDescent="0.25">
      <c r="A313" s="4" t="s">
        <v>154</v>
      </c>
      <c r="B313" s="1" t="s">
        <v>1</v>
      </c>
      <c r="C313" s="2">
        <v>1</v>
      </c>
    </row>
    <row r="314" spans="1:3" x14ac:dyDescent="0.25">
      <c r="A314" s="4" t="s">
        <v>153</v>
      </c>
      <c r="B314" s="1" t="s">
        <v>1</v>
      </c>
      <c r="C314" s="2">
        <v>1</v>
      </c>
    </row>
    <row r="315" spans="1:3" x14ac:dyDescent="0.25">
      <c r="A315" s="4" t="s">
        <v>152</v>
      </c>
      <c r="B315" s="1" t="s">
        <v>1</v>
      </c>
      <c r="C315" s="2" t="s">
        <v>358</v>
      </c>
    </row>
    <row r="316" spans="1:3" x14ac:dyDescent="0.25">
      <c r="A316" s="4" t="s">
        <v>122</v>
      </c>
      <c r="B316" s="1" t="s">
        <v>1</v>
      </c>
      <c r="C316" s="2" t="s">
        <v>359</v>
      </c>
    </row>
    <row r="318" spans="1:3" s="7" customFormat="1" ht="15.75" x14ac:dyDescent="0.3">
      <c r="A318" s="5" t="s">
        <v>360</v>
      </c>
      <c r="B318" s="5"/>
      <c r="C318" s="6"/>
    </row>
    <row r="319" spans="1:3" x14ac:dyDescent="0.25">
      <c r="A319" s="4" t="s">
        <v>361</v>
      </c>
      <c r="B319" s="1" t="s">
        <v>1</v>
      </c>
      <c r="C319" s="2" t="s">
        <v>890</v>
      </c>
    </row>
    <row r="320" spans="1:3" x14ac:dyDescent="0.25">
      <c r="A320" s="4" t="s">
        <v>362</v>
      </c>
      <c r="B320" s="1" t="s">
        <v>1</v>
      </c>
      <c r="C320" s="2" t="s">
        <v>880</v>
      </c>
    </row>
    <row r="321" spans="1:3" x14ac:dyDescent="0.25">
      <c r="A321" s="4" t="s">
        <v>156</v>
      </c>
      <c r="B321" s="1" t="s">
        <v>1</v>
      </c>
      <c r="C321" s="2" t="s">
        <v>363</v>
      </c>
    </row>
    <row r="322" spans="1:3" x14ac:dyDescent="0.25">
      <c r="A322" s="4" t="s">
        <v>154</v>
      </c>
      <c r="B322" s="1" t="s">
        <v>1</v>
      </c>
      <c r="C322" s="2">
        <v>4</v>
      </c>
    </row>
    <row r="323" spans="1:3" x14ac:dyDescent="0.25">
      <c r="A323" s="4" t="s">
        <v>153</v>
      </c>
      <c r="B323" s="1" t="s">
        <v>1</v>
      </c>
      <c r="C323" s="2">
        <v>3</v>
      </c>
    </row>
    <row r="324" spans="1:3" x14ac:dyDescent="0.25">
      <c r="A324" s="4" t="s">
        <v>152</v>
      </c>
      <c r="B324" s="1" t="s">
        <v>1</v>
      </c>
      <c r="C324" s="2" t="s">
        <v>920</v>
      </c>
    </row>
    <row r="325" spans="1:3" x14ac:dyDescent="0.25">
      <c r="A325" s="4" t="s">
        <v>151</v>
      </c>
      <c r="B325" s="1" t="s">
        <v>1</v>
      </c>
      <c r="C325" s="2" t="s">
        <v>922</v>
      </c>
    </row>
    <row r="326" spans="1:3" x14ac:dyDescent="0.25">
      <c r="A326" s="4" t="s">
        <v>150</v>
      </c>
      <c r="B326" s="1" t="s">
        <v>1</v>
      </c>
      <c r="C326" s="2" t="s">
        <v>921</v>
      </c>
    </row>
    <row r="327" spans="1:3" x14ac:dyDescent="0.25">
      <c r="A327" s="4" t="s">
        <v>122</v>
      </c>
      <c r="B327" s="1" t="s">
        <v>1</v>
      </c>
      <c r="C327" s="2" t="s">
        <v>881</v>
      </c>
    </row>
    <row r="328" spans="1:3" x14ac:dyDescent="0.25">
      <c r="A328" s="4" t="s">
        <v>121</v>
      </c>
      <c r="B328" s="1" t="s">
        <v>1</v>
      </c>
      <c r="C328" s="2" t="s">
        <v>891</v>
      </c>
    </row>
    <row r="329" spans="1:3" x14ac:dyDescent="0.25">
      <c r="A329" s="4" t="s">
        <v>120</v>
      </c>
      <c r="B329" s="1" t="s">
        <v>1</v>
      </c>
      <c r="C329" s="2" t="s">
        <v>364</v>
      </c>
    </row>
    <row r="331" spans="1:3" s="7" customFormat="1" ht="15.75" x14ac:dyDescent="0.3">
      <c r="A331" s="5" t="s">
        <v>365</v>
      </c>
      <c r="B331" s="5"/>
      <c r="C331" s="6"/>
    </row>
    <row r="332" spans="1:3" x14ac:dyDescent="0.25">
      <c r="A332" s="4" t="s">
        <v>156</v>
      </c>
      <c r="B332" s="1" t="s">
        <v>1</v>
      </c>
      <c r="C332" s="2" t="s">
        <v>366</v>
      </c>
    </row>
    <row r="333" spans="1:3" x14ac:dyDescent="0.25">
      <c r="A333" s="4" t="s">
        <v>154</v>
      </c>
      <c r="B333" s="1" t="s">
        <v>1</v>
      </c>
      <c r="C333" s="2">
        <v>2</v>
      </c>
    </row>
    <row r="334" spans="1:3" x14ac:dyDescent="0.25">
      <c r="A334" s="4" t="s">
        <v>153</v>
      </c>
      <c r="B334" s="1" t="s">
        <v>1</v>
      </c>
      <c r="C334" s="2">
        <v>4</v>
      </c>
    </row>
    <row r="335" spans="1:3" x14ac:dyDescent="0.25">
      <c r="A335" s="4" t="s">
        <v>152</v>
      </c>
      <c r="B335" s="1" t="s">
        <v>1</v>
      </c>
      <c r="C335" s="2" t="s">
        <v>367</v>
      </c>
    </row>
    <row r="336" spans="1:3" x14ac:dyDescent="0.25">
      <c r="A336" s="4" t="s">
        <v>151</v>
      </c>
      <c r="B336" s="1" t="s">
        <v>1</v>
      </c>
      <c r="C336" s="2" t="s">
        <v>368</v>
      </c>
    </row>
    <row r="337" spans="1:3" x14ac:dyDescent="0.25">
      <c r="A337" s="4" t="s">
        <v>150</v>
      </c>
      <c r="B337" s="1" t="s">
        <v>1</v>
      </c>
      <c r="C337" s="2" t="s">
        <v>369</v>
      </c>
    </row>
    <row r="338" spans="1:3" x14ac:dyDescent="0.25">
      <c r="A338" s="4" t="s">
        <v>149</v>
      </c>
      <c r="B338" s="1" t="s">
        <v>1</v>
      </c>
      <c r="C338" s="2" t="s">
        <v>370</v>
      </c>
    </row>
    <row r="339" spans="1:3" x14ac:dyDescent="0.25">
      <c r="A339" s="4" t="s">
        <v>122</v>
      </c>
      <c r="B339" s="1" t="s">
        <v>1</v>
      </c>
      <c r="C339" s="2" t="s">
        <v>371</v>
      </c>
    </row>
    <row r="340" spans="1:3" x14ac:dyDescent="0.25">
      <c r="A340" s="4" t="s">
        <v>121</v>
      </c>
      <c r="B340" s="1" t="s">
        <v>1</v>
      </c>
      <c r="C340" s="2" t="s">
        <v>372</v>
      </c>
    </row>
    <row r="341" spans="1:3" x14ac:dyDescent="0.25">
      <c r="A341" s="4" t="s">
        <v>120</v>
      </c>
      <c r="B341" s="1" t="s">
        <v>1</v>
      </c>
      <c r="C341" s="2" t="s">
        <v>844</v>
      </c>
    </row>
    <row r="342" spans="1:3" x14ac:dyDescent="0.25">
      <c r="A342" s="4" t="s">
        <v>119</v>
      </c>
      <c r="B342" s="1" t="s">
        <v>1</v>
      </c>
      <c r="C342" s="2" t="s">
        <v>373</v>
      </c>
    </row>
    <row r="344" spans="1:3" s="7" customFormat="1" ht="15.75" x14ac:dyDescent="0.3">
      <c r="A344" s="5" t="s">
        <v>374</v>
      </c>
      <c r="B344" s="5"/>
      <c r="C344" s="6"/>
    </row>
    <row r="345" spans="1:3" x14ac:dyDescent="0.25">
      <c r="A345" s="4" t="s">
        <v>156</v>
      </c>
      <c r="B345" s="1" t="s">
        <v>1</v>
      </c>
      <c r="C345" s="2" t="s">
        <v>195</v>
      </c>
    </row>
    <row r="346" spans="1:3" x14ac:dyDescent="0.25">
      <c r="A346" s="4" t="s">
        <v>154</v>
      </c>
      <c r="B346" s="1" t="s">
        <v>1</v>
      </c>
      <c r="C346" s="2">
        <v>1</v>
      </c>
    </row>
    <row r="347" spans="1:3" x14ac:dyDescent="0.25">
      <c r="A347" s="4" t="s">
        <v>153</v>
      </c>
      <c r="B347" s="1" t="s">
        <v>1</v>
      </c>
      <c r="C347" s="2">
        <v>1</v>
      </c>
    </row>
    <row r="348" spans="1:3" x14ac:dyDescent="0.25">
      <c r="A348" s="4" t="s">
        <v>152</v>
      </c>
      <c r="B348" s="1" t="s">
        <v>1</v>
      </c>
      <c r="C348" s="2" t="s">
        <v>375</v>
      </c>
    </row>
    <row r="349" spans="1:3" x14ac:dyDescent="0.25">
      <c r="A349" s="4" t="s">
        <v>122</v>
      </c>
      <c r="B349" s="1" t="s">
        <v>1</v>
      </c>
      <c r="C349" s="2" t="s">
        <v>376</v>
      </c>
    </row>
    <row r="351" spans="1:3" s="7" customFormat="1" ht="15.75" x14ac:dyDescent="0.3">
      <c r="A351" s="5" t="s">
        <v>377</v>
      </c>
      <c r="B351" s="5"/>
      <c r="C351" s="6"/>
    </row>
    <row r="352" spans="1:3" x14ac:dyDescent="0.25">
      <c r="A352" s="4" t="s">
        <v>156</v>
      </c>
      <c r="B352" s="1" t="s">
        <v>1</v>
      </c>
      <c r="C352" s="2" t="s">
        <v>378</v>
      </c>
    </row>
    <row r="353" spans="1:3" x14ac:dyDescent="0.25">
      <c r="A353" s="4" t="s">
        <v>154</v>
      </c>
      <c r="B353" s="1" t="s">
        <v>1</v>
      </c>
      <c r="C353" s="2">
        <v>0</v>
      </c>
    </row>
    <row r="354" spans="1:3" x14ac:dyDescent="0.25">
      <c r="A354" s="4" t="s">
        <v>153</v>
      </c>
      <c r="B354" s="1" t="s">
        <v>1</v>
      </c>
      <c r="C354" s="2">
        <v>1</v>
      </c>
    </row>
    <row r="355" spans="1:3" x14ac:dyDescent="0.25">
      <c r="A355" s="4" t="s">
        <v>152</v>
      </c>
      <c r="B355" s="1" t="s">
        <v>1</v>
      </c>
      <c r="C355" s="2" t="s">
        <v>195</v>
      </c>
    </row>
    <row r="356" spans="1:3" x14ac:dyDescent="0.25">
      <c r="A356" s="4" t="s">
        <v>122</v>
      </c>
      <c r="B356" s="1" t="s">
        <v>1</v>
      </c>
      <c r="C356" s="2" t="s">
        <v>372</v>
      </c>
    </row>
    <row r="358" spans="1:3" s="7" customFormat="1" ht="15.75" x14ac:dyDescent="0.3">
      <c r="A358" s="5" t="s">
        <v>379</v>
      </c>
      <c r="B358" s="5"/>
      <c r="C358" s="6"/>
    </row>
    <row r="359" spans="1:3" x14ac:dyDescent="0.25">
      <c r="A359" s="4" t="s">
        <v>156</v>
      </c>
      <c r="B359" s="1" t="s">
        <v>1</v>
      </c>
      <c r="C359" s="2" t="s">
        <v>380</v>
      </c>
    </row>
    <row r="360" spans="1:3" x14ac:dyDescent="0.25">
      <c r="A360" s="4" t="s">
        <v>154</v>
      </c>
      <c r="B360" s="1" t="s">
        <v>1</v>
      </c>
      <c r="C360" s="2">
        <v>2</v>
      </c>
    </row>
    <row r="361" spans="1:3" x14ac:dyDescent="0.25">
      <c r="A361" s="4" t="s">
        <v>153</v>
      </c>
      <c r="B361" s="1" t="s">
        <v>1</v>
      </c>
      <c r="C361" s="2">
        <v>2</v>
      </c>
    </row>
    <row r="362" spans="1:3" x14ac:dyDescent="0.25">
      <c r="A362" s="4" t="s">
        <v>152</v>
      </c>
      <c r="B362" s="1" t="s">
        <v>1</v>
      </c>
      <c r="C362" s="2" t="s">
        <v>896</v>
      </c>
    </row>
    <row r="363" spans="1:3" x14ac:dyDescent="0.25">
      <c r="A363" s="4" t="s">
        <v>151</v>
      </c>
      <c r="B363" s="1" t="s">
        <v>1</v>
      </c>
      <c r="C363" s="2" t="s">
        <v>897</v>
      </c>
    </row>
    <row r="364" spans="1:3" x14ac:dyDescent="0.25">
      <c r="A364" s="4" t="s">
        <v>122</v>
      </c>
      <c r="B364" s="1" t="s">
        <v>1</v>
      </c>
      <c r="C364" s="2" t="s">
        <v>381</v>
      </c>
    </row>
    <row r="365" spans="1:3" x14ac:dyDescent="0.25">
      <c r="A365" s="4" t="s">
        <v>121</v>
      </c>
      <c r="B365" s="1" t="s">
        <v>1</v>
      </c>
      <c r="C365" s="2" t="s">
        <v>382</v>
      </c>
    </row>
    <row r="367" spans="1:3" s="7" customFormat="1" ht="15.75" x14ac:dyDescent="0.3">
      <c r="A367" s="5" t="s">
        <v>383</v>
      </c>
      <c r="B367" s="5"/>
      <c r="C367" s="6"/>
    </row>
    <row r="368" spans="1:3" x14ac:dyDescent="0.25">
      <c r="A368" s="4" t="s">
        <v>156</v>
      </c>
      <c r="B368" s="1" t="s">
        <v>1</v>
      </c>
      <c r="C368" s="2" t="s">
        <v>384</v>
      </c>
    </row>
    <row r="369" spans="1:3" x14ac:dyDescent="0.25">
      <c r="A369" s="4" t="s">
        <v>154</v>
      </c>
      <c r="B369" s="1" t="s">
        <v>1</v>
      </c>
      <c r="C369" s="2">
        <v>3</v>
      </c>
    </row>
    <row r="370" spans="1:3" x14ac:dyDescent="0.25">
      <c r="A370" s="4" t="s">
        <v>153</v>
      </c>
      <c r="B370" s="1" t="s">
        <v>1</v>
      </c>
      <c r="C370" s="2">
        <v>3</v>
      </c>
    </row>
    <row r="371" spans="1:3" x14ac:dyDescent="0.25">
      <c r="A371" s="4" t="s">
        <v>152</v>
      </c>
      <c r="B371" s="1" t="s">
        <v>1</v>
      </c>
      <c r="C371" s="2" t="s">
        <v>385</v>
      </c>
    </row>
    <row r="372" spans="1:3" x14ac:dyDescent="0.25">
      <c r="A372" s="4" t="s">
        <v>151</v>
      </c>
      <c r="B372" s="1" t="s">
        <v>1</v>
      </c>
      <c r="C372" s="2" t="s">
        <v>386</v>
      </c>
    </row>
    <row r="373" spans="1:3" x14ac:dyDescent="0.25">
      <c r="A373" s="4" t="s">
        <v>150</v>
      </c>
      <c r="B373" s="1" t="s">
        <v>1</v>
      </c>
      <c r="C373" s="2" t="s">
        <v>387</v>
      </c>
    </row>
    <row r="374" spans="1:3" x14ac:dyDescent="0.25">
      <c r="A374" s="4" t="s">
        <v>122</v>
      </c>
      <c r="B374" s="1" t="s">
        <v>1</v>
      </c>
      <c r="C374" s="2" t="s">
        <v>872</v>
      </c>
    </row>
    <row r="375" spans="1:3" x14ac:dyDescent="0.25">
      <c r="A375" s="4" t="s">
        <v>121</v>
      </c>
      <c r="B375" s="1" t="s">
        <v>1</v>
      </c>
      <c r="C375" s="2" t="s">
        <v>873</v>
      </c>
    </row>
    <row r="376" spans="1:3" x14ac:dyDescent="0.25">
      <c r="A376" s="4" t="s">
        <v>120</v>
      </c>
      <c r="B376" s="1" t="s">
        <v>1</v>
      </c>
      <c r="C376" s="2" t="s">
        <v>388</v>
      </c>
    </row>
    <row r="378" spans="1:3" s="7" customFormat="1" ht="15.75" x14ac:dyDescent="0.3">
      <c r="A378" s="5" t="s">
        <v>389</v>
      </c>
      <c r="B378" s="5"/>
      <c r="C378" s="6"/>
    </row>
    <row r="379" spans="1:3" x14ac:dyDescent="0.25">
      <c r="A379" s="4" t="s">
        <v>156</v>
      </c>
      <c r="B379" s="1" t="s">
        <v>1</v>
      </c>
      <c r="C379" s="2" t="s">
        <v>390</v>
      </c>
    </row>
    <row r="380" spans="1:3" x14ac:dyDescent="0.25">
      <c r="A380" s="4" t="s">
        <v>154</v>
      </c>
      <c r="B380" s="1" t="s">
        <v>1</v>
      </c>
      <c r="C380" s="2">
        <v>1</v>
      </c>
    </row>
    <row r="381" spans="1:3" x14ac:dyDescent="0.25">
      <c r="A381" s="4" t="s">
        <v>153</v>
      </c>
      <c r="B381" s="1" t="s">
        <v>1</v>
      </c>
      <c r="C381" s="2">
        <v>1</v>
      </c>
    </row>
    <row r="382" spans="1:3" x14ac:dyDescent="0.25">
      <c r="A382" s="4" t="s">
        <v>152</v>
      </c>
      <c r="B382" s="1" t="s">
        <v>1</v>
      </c>
      <c r="C382" s="2" t="s">
        <v>898</v>
      </c>
    </row>
    <row r="383" spans="1:3" x14ac:dyDescent="0.25">
      <c r="A383" s="4" t="s">
        <v>122</v>
      </c>
      <c r="B383" s="1" t="s">
        <v>1</v>
      </c>
      <c r="C383" s="2" t="s">
        <v>882</v>
      </c>
    </row>
    <row r="385" spans="1:3" x14ac:dyDescent="0.25">
      <c r="A385" s="4" t="s">
        <v>391</v>
      </c>
    </row>
    <row r="387" spans="1:3" s="7" customFormat="1" ht="15.75" x14ac:dyDescent="0.3">
      <c r="A387" s="5" t="s">
        <v>392</v>
      </c>
      <c r="B387" s="5"/>
      <c r="C387" s="6"/>
    </row>
    <row r="388" spans="1:3" x14ac:dyDescent="0.25">
      <c r="A388" s="4" t="s">
        <v>156</v>
      </c>
      <c r="B388" s="1" t="s">
        <v>1</v>
      </c>
      <c r="C388" s="2" t="s">
        <v>393</v>
      </c>
    </row>
    <row r="389" spans="1:3" x14ac:dyDescent="0.25">
      <c r="A389" s="4" t="s">
        <v>154</v>
      </c>
      <c r="B389" s="1" t="s">
        <v>1</v>
      </c>
      <c r="C389" s="2">
        <v>0</v>
      </c>
    </row>
    <row r="390" spans="1:3" x14ac:dyDescent="0.25">
      <c r="A390" s="4" t="s">
        <v>153</v>
      </c>
      <c r="B390" s="1" t="s">
        <v>1</v>
      </c>
      <c r="C390" s="2">
        <v>0</v>
      </c>
    </row>
    <row r="391" spans="1:3" x14ac:dyDescent="0.25">
      <c r="A391" s="4" t="s">
        <v>152</v>
      </c>
      <c r="B391" s="1" t="s">
        <v>1</v>
      </c>
      <c r="C391" s="2" t="s">
        <v>195</v>
      </c>
    </row>
    <row r="392" spans="1:3" x14ac:dyDescent="0.25">
      <c r="A392" s="4" t="s">
        <v>122</v>
      </c>
      <c r="B392" s="1" t="s">
        <v>1</v>
      </c>
      <c r="C392" s="2" t="s">
        <v>195</v>
      </c>
    </row>
    <row r="394" spans="1:3" s="7" customFormat="1" ht="15.75" x14ac:dyDescent="0.3">
      <c r="A394" s="5" t="s">
        <v>394</v>
      </c>
      <c r="B394" s="5"/>
      <c r="C394" s="6"/>
    </row>
    <row r="395" spans="1:3" x14ac:dyDescent="0.25">
      <c r="A395" s="4" t="s">
        <v>156</v>
      </c>
      <c r="B395" s="1" t="s">
        <v>1</v>
      </c>
      <c r="C395" s="2" t="s">
        <v>195</v>
      </c>
    </row>
    <row r="396" spans="1:3" x14ac:dyDescent="0.25">
      <c r="A396" s="4" t="s">
        <v>154</v>
      </c>
      <c r="B396" s="1" t="s">
        <v>1</v>
      </c>
      <c r="C396" s="2">
        <v>2</v>
      </c>
    </row>
    <row r="397" spans="1:3" x14ac:dyDescent="0.25">
      <c r="A397" s="4" t="s">
        <v>153</v>
      </c>
      <c r="B397" s="1" t="s">
        <v>1</v>
      </c>
      <c r="C397" s="2">
        <v>2</v>
      </c>
    </row>
    <row r="398" spans="1:3" x14ac:dyDescent="0.25">
      <c r="A398" s="4" t="s">
        <v>152</v>
      </c>
      <c r="B398" s="1" t="s">
        <v>1</v>
      </c>
      <c r="C398" s="2" t="s">
        <v>395</v>
      </c>
    </row>
    <row r="399" spans="1:3" x14ac:dyDescent="0.25">
      <c r="A399" s="4" t="s">
        <v>151</v>
      </c>
      <c r="B399" s="1" t="s">
        <v>1</v>
      </c>
      <c r="C399" s="2" t="s">
        <v>396</v>
      </c>
    </row>
    <row r="400" spans="1:3" x14ac:dyDescent="0.25">
      <c r="A400" s="4" t="s">
        <v>122</v>
      </c>
      <c r="B400" s="1" t="s">
        <v>1</v>
      </c>
      <c r="C400" s="2" t="s">
        <v>858</v>
      </c>
    </row>
    <row r="401" spans="1:3" x14ac:dyDescent="0.25">
      <c r="A401" s="4" t="s">
        <v>121</v>
      </c>
      <c r="B401" s="1" t="s">
        <v>1</v>
      </c>
      <c r="C401" s="2" t="s">
        <v>397</v>
      </c>
    </row>
    <row r="403" spans="1:3" s="7" customFormat="1" ht="15.75" x14ac:dyDescent="0.3">
      <c r="A403" s="5" t="s">
        <v>398</v>
      </c>
      <c r="B403" s="5"/>
      <c r="C403" s="6"/>
    </row>
    <row r="404" spans="1:3" x14ac:dyDescent="0.25">
      <c r="A404" s="4" t="s">
        <v>156</v>
      </c>
      <c r="B404" s="1" t="s">
        <v>1</v>
      </c>
      <c r="C404" s="2" t="s">
        <v>399</v>
      </c>
    </row>
    <row r="405" spans="1:3" x14ac:dyDescent="0.25">
      <c r="A405" s="4" t="s">
        <v>154</v>
      </c>
      <c r="B405" s="1" t="s">
        <v>1</v>
      </c>
      <c r="C405" s="2">
        <v>3</v>
      </c>
    </row>
    <row r="406" spans="1:3" x14ac:dyDescent="0.25">
      <c r="A406" s="4" t="s">
        <v>153</v>
      </c>
      <c r="B406" s="1" t="s">
        <v>1</v>
      </c>
      <c r="C406" s="2">
        <v>2</v>
      </c>
    </row>
    <row r="407" spans="1:3" x14ac:dyDescent="0.25">
      <c r="A407" s="4" t="s">
        <v>152</v>
      </c>
      <c r="B407" s="1" t="s">
        <v>1</v>
      </c>
      <c r="C407" s="2" t="s">
        <v>400</v>
      </c>
    </row>
    <row r="408" spans="1:3" x14ac:dyDescent="0.25">
      <c r="A408" s="4" t="s">
        <v>151</v>
      </c>
      <c r="B408" s="1" t="s">
        <v>1</v>
      </c>
      <c r="C408" s="2" t="s">
        <v>401</v>
      </c>
    </row>
    <row r="409" spans="1:3" x14ac:dyDescent="0.25">
      <c r="A409" s="4" t="s">
        <v>122</v>
      </c>
      <c r="B409" s="1" t="s">
        <v>1</v>
      </c>
      <c r="C409" s="2" t="s">
        <v>864</v>
      </c>
    </row>
    <row r="410" spans="1:3" x14ac:dyDescent="0.25">
      <c r="A410" s="4" t="s">
        <v>121</v>
      </c>
      <c r="B410" s="1" t="s">
        <v>1</v>
      </c>
      <c r="C410" s="2" t="s">
        <v>402</v>
      </c>
    </row>
    <row r="412" spans="1:3" s="7" customFormat="1" ht="15.75" x14ac:dyDescent="0.3">
      <c r="A412" s="5" t="s">
        <v>403</v>
      </c>
      <c r="B412" s="5"/>
      <c r="C412" s="6"/>
    </row>
    <row r="413" spans="1:3" x14ac:dyDescent="0.25">
      <c r="A413" s="4" t="s">
        <v>156</v>
      </c>
      <c r="B413" s="1" t="s">
        <v>1</v>
      </c>
      <c r="C413" s="2" t="s">
        <v>195</v>
      </c>
    </row>
    <row r="414" spans="1:3" x14ac:dyDescent="0.25">
      <c r="A414" s="4" t="s">
        <v>154</v>
      </c>
      <c r="B414" s="1" t="s">
        <v>1</v>
      </c>
      <c r="C414" s="2">
        <v>2</v>
      </c>
    </row>
    <row r="415" spans="1:3" x14ac:dyDescent="0.25">
      <c r="A415" s="4" t="s">
        <v>153</v>
      </c>
      <c r="B415" s="1" t="s">
        <v>1</v>
      </c>
      <c r="C415" s="2">
        <v>1</v>
      </c>
    </row>
    <row r="416" spans="1:3" x14ac:dyDescent="0.25">
      <c r="A416" s="4" t="s">
        <v>152</v>
      </c>
      <c r="B416" s="1" t="s">
        <v>1</v>
      </c>
      <c r="C416" s="2" t="s">
        <v>404</v>
      </c>
    </row>
    <row r="417" spans="1:3" x14ac:dyDescent="0.25">
      <c r="A417" s="4" t="s">
        <v>122</v>
      </c>
      <c r="B417" s="1" t="s">
        <v>1</v>
      </c>
      <c r="C417" s="2" t="s">
        <v>405</v>
      </c>
    </row>
    <row r="419" spans="1:3" s="7" customFormat="1" ht="15.75" x14ac:dyDescent="0.3">
      <c r="A419" s="5" t="s">
        <v>406</v>
      </c>
      <c r="B419" s="5"/>
      <c r="C419" s="6"/>
    </row>
    <row r="420" spans="1:3" x14ac:dyDescent="0.25">
      <c r="A420" s="4" t="s">
        <v>156</v>
      </c>
      <c r="B420" s="1" t="s">
        <v>1</v>
      </c>
      <c r="C420" s="2" t="s">
        <v>195</v>
      </c>
    </row>
    <row r="421" spans="1:3" x14ac:dyDescent="0.25">
      <c r="A421" s="4" t="s">
        <v>154</v>
      </c>
      <c r="B421" s="1" t="s">
        <v>1</v>
      </c>
      <c r="C421" s="2">
        <v>2</v>
      </c>
    </row>
    <row r="422" spans="1:3" x14ac:dyDescent="0.25">
      <c r="A422" s="4" t="s">
        <v>153</v>
      </c>
      <c r="B422" s="1" t="s">
        <v>1</v>
      </c>
      <c r="C422" s="2">
        <v>2</v>
      </c>
    </row>
    <row r="423" spans="1:3" x14ac:dyDescent="0.25">
      <c r="A423" s="4" t="s">
        <v>152</v>
      </c>
      <c r="B423" s="1" t="s">
        <v>1</v>
      </c>
      <c r="C423" s="2" t="s">
        <v>407</v>
      </c>
    </row>
    <row r="424" spans="1:3" x14ac:dyDescent="0.25">
      <c r="A424" s="4" t="s">
        <v>122</v>
      </c>
      <c r="B424" s="1" t="s">
        <v>1</v>
      </c>
      <c r="C424" s="2" t="s">
        <v>408</v>
      </c>
    </row>
    <row r="426" spans="1:3" s="7" customFormat="1" ht="15.75" x14ac:dyDescent="0.3">
      <c r="A426" s="5" t="s">
        <v>409</v>
      </c>
      <c r="B426" s="5"/>
      <c r="C426" s="6"/>
    </row>
    <row r="427" spans="1:3" x14ac:dyDescent="0.25">
      <c r="A427" s="4" t="s">
        <v>156</v>
      </c>
      <c r="B427" s="1" t="s">
        <v>1</v>
      </c>
      <c r="C427" s="2" t="s">
        <v>195</v>
      </c>
    </row>
    <row r="428" spans="1:3" x14ac:dyDescent="0.25">
      <c r="A428" s="4" t="s">
        <v>154</v>
      </c>
      <c r="B428" s="1" t="s">
        <v>1</v>
      </c>
      <c r="C428" s="2">
        <v>2</v>
      </c>
    </row>
    <row r="429" spans="1:3" x14ac:dyDescent="0.25">
      <c r="A429" s="4" t="s">
        <v>153</v>
      </c>
      <c r="B429" s="1" t="s">
        <v>1</v>
      </c>
      <c r="C429" s="2">
        <v>1</v>
      </c>
    </row>
    <row r="430" spans="1:3" x14ac:dyDescent="0.25">
      <c r="A430" s="4" t="s">
        <v>152</v>
      </c>
      <c r="B430" s="1" t="s">
        <v>1</v>
      </c>
      <c r="C430" s="2" t="s">
        <v>195</v>
      </c>
    </row>
    <row r="431" spans="1:3" x14ac:dyDescent="0.25">
      <c r="A431" s="4" t="s">
        <v>122</v>
      </c>
      <c r="B431" s="1" t="s">
        <v>1</v>
      </c>
      <c r="C431" s="2" t="s">
        <v>410</v>
      </c>
    </row>
    <row r="433" spans="1:3" s="7" customFormat="1" ht="15.75" x14ac:dyDescent="0.3">
      <c r="A433" s="5" t="s">
        <v>411</v>
      </c>
      <c r="B433" s="5"/>
      <c r="C433" s="6"/>
    </row>
    <row r="434" spans="1:3" x14ac:dyDescent="0.25">
      <c r="A434" s="4" t="s">
        <v>156</v>
      </c>
      <c r="B434" s="1" t="s">
        <v>1</v>
      </c>
      <c r="C434" s="2" t="s">
        <v>195</v>
      </c>
    </row>
    <row r="435" spans="1:3" x14ac:dyDescent="0.25">
      <c r="A435" s="4" t="s">
        <v>154</v>
      </c>
      <c r="B435" s="1" t="s">
        <v>1</v>
      </c>
      <c r="C435" s="2">
        <v>1</v>
      </c>
    </row>
    <row r="436" spans="1:3" x14ac:dyDescent="0.25">
      <c r="A436" s="4" t="s">
        <v>153</v>
      </c>
      <c r="B436" s="1" t="s">
        <v>1</v>
      </c>
      <c r="C436" s="2">
        <v>1</v>
      </c>
    </row>
    <row r="437" spans="1:3" x14ac:dyDescent="0.25">
      <c r="A437" s="4" t="s">
        <v>152</v>
      </c>
      <c r="B437" s="1" t="s">
        <v>1</v>
      </c>
      <c r="C437" s="2" t="s">
        <v>412</v>
      </c>
    </row>
    <row r="438" spans="1:3" x14ac:dyDescent="0.25">
      <c r="A438" s="4" t="s">
        <v>122</v>
      </c>
      <c r="B438" s="1" t="s">
        <v>1</v>
      </c>
      <c r="C438" s="2" t="s">
        <v>675</v>
      </c>
    </row>
    <row r="440" spans="1:3" s="7" customFormat="1" ht="15.75" x14ac:dyDescent="0.3">
      <c r="A440" s="5" t="s">
        <v>413</v>
      </c>
      <c r="B440" s="5"/>
      <c r="C440" s="6"/>
    </row>
    <row r="441" spans="1:3" x14ac:dyDescent="0.25">
      <c r="A441" s="4" t="s">
        <v>156</v>
      </c>
      <c r="B441" s="1" t="s">
        <v>1</v>
      </c>
      <c r="C441" s="2" t="s">
        <v>195</v>
      </c>
    </row>
    <row r="442" spans="1:3" x14ac:dyDescent="0.25">
      <c r="A442" s="4" t="s">
        <v>154</v>
      </c>
      <c r="B442" s="1" t="s">
        <v>1</v>
      </c>
      <c r="C442" s="2">
        <v>1</v>
      </c>
    </row>
    <row r="443" spans="1:3" x14ac:dyDescent="0.25">
      <c r="A443" s="4" t="s">
        <v>153</v>
      </c>
      <c r="B443" s="1" t="s">
        <v>1</v>
      </c>
      <c r="C443" s="2">
        <v>1</v>
      </c>
    </row>
    <row r="444" spans="1:3" x14ac:dyDescent="0.25">
      <c r="A444" s="4" t="s">
        <v>152</v>
      </c>
      <c r="B444" s="1" t="s">
        <v>1</v>
      </c>
      <c r="C444" s="2" t="s">
        <v>414</v>
      </c>
    </row>
    <row r="445" spans="1:3" x14ac:dyDescent="0.25">
      <c r="A445" s="4" t="s">
        <v>122</v>
      </c>
      <c r="B445" s="1" t="s">
        <v>1</v>
      </c>
      <c r="C445" s="2" t="s">
        <v>676</v>
      </c>
    </row>
    <row r="447" spans="1:3" s="7" customFormat="1" ht="15.75" x14ac:dyDescent="0.3">
      <c r="A447" s="5" t="s">
        <v>415</v>
      </c>
      <c r="B447" s="5"/>
      <c r="C447" s="6"/>
    </row>
    <row r="448" spans="1:3" x14ac:dyDescent="0.25">
      <c r="A448" s="4" t="s">
        <v>156</v>
      </c>
      <c r="B448" s="1" t="s">
        <v>1</v>
      </c>
      <c r="C448" s="2" t="s">
        <v>195</v>
      </c>
    </row>
    <row r="449" spans="1:3" x14ac:dyDescent="0.25">
      <c r="A449" s="4" t="s">
        <v>154</v>
      </c>
      <c r="B449" s="1" t="s">
        <v>1</v>
      </c>
      <c r="C449" s="2">
        <v>1</v>
      </c>
    </row>
    <row r="450" spans="1:3" x14ac:dyDescent="0.25">
      <c r="A450" s="4" t="s">
        <v>153</v>
      </c>
      <c r="B450" s="1" t="s">
        <v>1</v>
      </c>
      <c r="C450" s="2">
        <v>1</v>
      </c>
    </row>
    <row r="451" spans="1:3" x14ac:dyDescent="0.25">
      <c r="A451" s="4" t="s">
        <v>152</v>
      </c>
      <c r="B451" s="1" t="s">
        <v>1</v>
      </c>
      <c r="C451" s="2" t="s">
        <v>416</v>
      </c>
    </row>
    <row r="452" spans="1:3" x14ac:dyDescent="0.25">
      <c r="A452" s="4" t="s">
        <v>122</v>
      </c>
      <c r="B452" s="1" t="s">
        <v>1</v>
      </c>
      <c r="C452" s="2" t="s">
        <v>417</v>
      </c>
    </row>
    <row r="454" spans="1:3" s="7" customFormat="1" ht="15.75" x14ac:dyDescent="0.3">
      <c r="A454" s="5" t="s">
        <v>418</v>
      </c>
      <c r="B454" s="5"/>
      <c r="C454" s="6"/>
    </row>
    <row r="455" spans="1:3" x14ac:dyDescent="0.25">
      <c r="A455" s="4" t="s">
        <v>156</v>
      </c>
      <c r="B455" s="1" t="s">
        <v>1</v>
      </c>
      <c r="C455" s="2" t="s">
        <v>195</v>
      </c>
    </row>
    <row r="456" spans="1:3" x14ac:dyDescent="0.25">
      <c r="A456" s="4" t="s">
        <v>154</v>
      </c>
      <c r="B456" s="1" t="s">
        <v>1</v>
      </c>
      <c r="C456" s="2">
        <v>0</v>
      </c>
    </row>
    <row r="457" spans="1:3" x14ac:dyDescent="0.25">
      <c r="A457" s="4" t="s">
        <v>153</v>
      </c>
      <c r="B457" s="1" t="s">
        <v>1</v>
      </c>
      <c r="C457" s="2">
        <v>1</v>
      </c>
    </row>
    <row r="458" spans="1:3" x14ac:dyDescent="0.25">
      <c r="A458" s="4" t="s">
        <v>152</v>
      </c>
      <c r="B458" s="1" t="s">
        <v>1</v>
      </c>
      <c r="C458" s="2" t="s">
        <v>195</v>
      </c>
    </row>
    <row r="459" spans="1:3" x14ac:dyDescent="0.25">
      <c r="A459" s="4" t="s">
        <v>122</v>
      </c>
      <c r="B459" s="1" t="s">
        <v>1</v>
      </c>
      <c r="C459" s="2" t="s">
        <v>419</v>
      </c>
    </row>
    <row r="461" spans="1:3" x14ac:dyDescent="0.25">
      <c r="A461" s="4" t="s">
        <v>391</v>
      </c>
    </row>
    <row r="463" spans="1:3" s="7" customFormat="1" ht="15.75" x14ac:dyDescent="0.3">
      <c r="A463" s="5" t="s">
        <v>394</v>
      </c>
      <c r="B463" s="5"/>
      <c r="C463" s="6"/>
    </row>
    <row r="464" spans="1:3" x14ac:dyDescent="0.25">
      <c r="A464" s="4" t="s">
        <v>156</v>
      </c>
      <c r="B464" s="1" t="s">
        <v>1</v>
      </c>
      <c r="C464" s="2" t="s">
        <v>195</v>
      </c>
    </row>
    <row r="465" spans="1:3" x14ac:dyDescent="0.25">
      <c r="A465" s="4" t="s">
        <v>154</v>
      </c>
      <c r="B465" s="1" t="s">
        <v>1</v>
      </c>
      <c r="C465" s="2">
        <v>2</v>
      </c>
    </row>
    <row r="466" spans="1:3" x14ac:dyDescent="0.25">
      <c r="A466" s="4" t="s">
        <v>153</v>
      </c>
      <c r="B466" s="1" t="s">
        <v>1</v>
      </c>
      <c r="C466" s="2">
        <v>2</v>
      </c>
    </row>
    <row r="467" spans="1:3" x14ac:dyDescent="0.25">
      <c r="A467" s="4" t="s">
        <v>152</v>
      </c>
      <c r="B467" s="1" t="s">
        <v>1</v>
      </c>
      <c r="C467" s="2" t="s">
        <v>395</v>
      </c>
    </row>
    <row r="468" spans="1:3" x14ac:dyDescent="0.25">
      <c r="A468" s="4" t="s">
        <v>151</v>
      </c>
      <c r="B468" s="1" t="s">
        <v>1</v>
      </c>
      <c r="C468" s="2" t="s">
        <v>396</v>
      </c>
    </row>
    <row r="469" spans="1:3" x14ac:dyDescent="0.25">
      <c r="A469" s="4" t="s">
        <v>122</v>
      </c>
      <c r="B469" s="1" t="s">
        <v>1</v>
      </c>
      <c r="C469" s="2" t="s">
        <v>858</v>
      </c>
    </row>
    <row r="470" spans="1:3" x14ac:dyDescent="0.25">
      <c r="A470" s="4" t="s">
        <v>121</v>
      </c>
      <c r="B470" s="1" t="s">
        <v>1</v>
      </c>
      <c r="C470" s="2" t="s">
        <v>397</v>
      </c>
    </row>
    <row r="472" spans="1:3" s="7" customFormat="1" ht="15.75" x14ac:dyDescent="0.3">
      <c r="A472" s="5" t="s">
        <v>420</v>
      </c>
      <c r="B472" s="5"/>
      <c r="C472" s="6"/>
    </row>
    <row r="473" spans="1:3" x14ac:dyDescent="0.25">
      <c r="A473" s="4" t="s">
        <v>156</v>
      </c>
      <c r="B473" s="1" t="s">
        <v>1</v>
      </c>
      <c r="C473" s="2" t="s">
        <v>421</v>
      </c>
    </row>
    <row r="474" spans="1:3" x14ac:dyDescent="0.25">
      <c r="A474" s="4" t="s">
        <v>154</v>
      </c>
      <c r="B474" s="1" t="s">
        <v>1</v>
      </c>
      <c r="C474" s="2">
        <v>3</v>
      </c>
    </row>
    <row r="475" spans="1:3" x14ac:dyDescent="0.25">
      <c r="A475" s="4" t="s">
        <v>153</v>
      </c>
      <c r="B475" s="1" t="s">
        <v>1</v>
      </c>
      <c r="C475" s="2">
        <v>2</v>
      </c>
    </row>
    <row r="476" spans="1:3" x14ac:dyDescent="0.25">
      <c r="A476" s="4" t="s">
        <v>152</v>
      </c>
      <c r="B476" s="1" t="s">
        <v>1</v>
      </c>
      <c r="C476" s="2" t="s">
        <v>422</v>
      </c>
    </row>
    <row r="477" spans="1:3" x14ac:dyDescent="0.25">
      <c r="A477" s="4" t="s">
        <v>151</v>
      </c>
      <c r="B477" s="1" t="s">
        <v>1</v>
      </c>
      <c r="C477" s="2" t="s">
        <v>423</v>
      </c>
    </row>
    <row r="478" spans="1:3" x14ac:dyDescent="0.25">
      <c r="A478" s="4" t="s">
        <v>122</v>
      </c>
      <c r="B478" s="1" t="s">
        <v>1</v>
      </c>
      <c r="C478" s="2" t="s">
        <v>863</v>
      </c>
    </row>
    <row r="479" spans="1:3" x14ac:dyDescent="0.25">
      <c r="A479" s="4" t="s">
        <v>121</v>
      </c>
      <c r="B479" s="1" t="s">
        <v>1</v>
      </c>
      <c r="C479" s="2" t="s">
        <v>424</v>
      </c>
    </row>
    <row r="481" spans="1:3" s="7" customFormat="1" ht="15.75" x14ac:dyDescent="0.3">
      <c r="A481" s="5" t="s">
        <v>425</v>
      </c>
      <c r="B481" s="5"/>
      <c r="C481" s="6"/>
    </row>
    <row r="482" spans="1:3" x14ac:dyDescent="0.25">
      <c r="A482" s="4" t="s">
        <v>156</v>
      </c>
      <c r="B482" s="1" t="s">
        <v>1</v>
      </c>
      <c r="C482" s="2" t="s">
        <v>195</v>
      </c>
    </row>
    <row r="483" spans="1:3" x14ac:dyDescent="0.25">
      <c r="A483" s="4" t="s">
        <v>154</v>
      </c>
      <c r="B483" s="1" t="s">
        <v>1</v>
      </c>
      <c r="C483" s="2">
        <v>2</v>
      </c>
    </row>
    <row r="484" spans="1:3" x14ac:dyDescent="0.25">
      <c r="A484" s="4" t="s">
        <v>153</v>
      </c>
      <c r="B484" s="1" t="s">
        <v>1</v>
      </c>
      <c r="C484" s="2">
        <v>1</v>
      </c>
    </row>
    <row r="485" spans="1:3" x14ac:dyDescent="0.25">
      <c r="A485" s="4" t="s">
        <v>152</v>
      </c>
      <c r="B485" s="1" t="s">
        <v>1</v>
      </c>
      <c r="C485" s="2" t="s">
        <v>426</v>
      </c>
    </row>
    <row r="486" spans="1:3" x14ac:dyDescent="0.25">
      <c r="A486" s="4" t="s">
        <v>122</v>
      </c>
      <c r="B486" s="1" t="s">
        <v>1</v>
      </c>
      <c r="C486" s="2" t="s">
        <v>427</v>
      </c>
    </row>
    <row r="488" spans="1:3" s="7" customFormat="1" ht="15.75" x14ac:dyDescent="0.3">
      <c r="A488" s="5" t="s">
        <v>428</v>
      </c>
      <c r="B488" s="5"/>
      <c r="C488" s="6"/>
    </row>
    <row r="489" spans="1:3" x14ac:dyDescent="0.25">
      <c r="A489" s="4" t="s">
        <v>156</v>
      </c>
      <c r="B489" s="1" t="s">
        <v>1</v>
      </c>
      <c r="C489" s="2" t="s">
        <v>195</v>
      </c>
    </row>
    <row r="490" spans="1:3" x14ac:dyDescent="0.25">
      <c r="A490" s="4" t="s">
        <v>154</v>
      </c>
      <c r="B490" s="1" t="s">
        <v>1</v>
      </c>
      <c r="C490" s="2">
        <v>2</v>
      </c>
    </row>
    <row r="491" spans="1:3" x14ac:dyDescent="0.25">
      <c r="A491" s="4" t="s">
        <v>153</v>
      </c>
      <c r="B491" s="1" t="s">
        <v>1</v>
      </c>
      <c r="C491" s="2">
        <v>2</v>
      </c>
    </row>
    <row r="492" spans="1:3" x14ac:dyDescent="0.25">
      <c r="A492" s="4" t="s">
        <v>152</v>
      </c>
      <c r="B492" s="1" t="s">
        <v>1</v>
      </c>
      <c r="C492" s="2" t="s">
        <v>407</v>
      </c>
    </row>
    <row r="493" spans="1:3" x14ac:dyDescent="0.25">
      <c r="A493" s="4" t="s">
        <v>122</v>
      </c>
      <c r="B493" s="1" t="s">
        <v>1</v>
      </c>
      <c r="C493" s="2" t="s">
        <v>429</v>
      </c>
    </row>
    <row r="495" spans="1:3" s="7" customFormat="1" ht="15.75" x14ac:dyDescent="0.3">
      <c r="A495" s="5" t="s">
        <v>430</v>
      </c>
      <c r="B495" s="5"/>
      <c r="C495" s="6"/>
    </row>
    <row r="496" spans="1:3" x14ac:dyDescent="0.25">
      <c r="A496" s="4" t="s">
        <v>156</v>
      </c>
      <c r="B496" s="1" t="s">
        <v>1</v>
      </c>
      <c r="C496" s="2" t="s">
        <v>195</v>
      </c>
    </row>
    <row r="497" spans="1:3" x14ac:dyDescent="0.25">
      <c r="A497" s="4" t="s">
        <v>154</v>
      </c>
      <c r="B497" s="1" t="s">
        <v>1</v>
      </c>
      <c r="C497" s="2">
        <v>2</v>
      </c>
    </row>
    <row r="498" spans="1:3" x14ac:dyDescent="0.25">
      <c r="A498" s="4" t="s">
        <v>153</v>
      </c>
      <c r="B498" s="1" t="s">
        <v>1</v>
      </c>
      <c r="C498" s="2">
        <v>1</v>
      </c>
    </row>
    <row r="499" spans="1:3" x14ac:dyDescent="0.25">
      <c r="A499" s="4" t="s">
        <v>152</v>
      </c>
      <c r="B499" s="1" t="s">
        <v>1</v>
      </c>
      <c r="C499" s="2" t="s">
        <v>195</v>
      </c>
    </row>
    <row r="500" spans="1:3" x14ac:dyDescent="0.25">
      <c r="A500" s="4" t="s">
        <v>122</v>
      </c>
      <c r="B500" s="1" t="s">
        <v>1</v>
      </c>
      <c r="C500" s="2" t="s">
        <v>431</v>
      </c>
    </row>
    <row r="502" spans="1:3" s="7" customFormat="1" ht="15.75" x14ac:dyDescent="0.3">
      <c r="A502" s="5" t="s">
        <v>432</v>
      </c>
      <c r="B502" s="5"/>
      <c r="C502" s="6"/>
    </row>
    <row r="503" spans="1:3" x14ac:dyDescent="0.25">
      <c r="A503" s="4" t="s">
        <v>156</v>
      </c>
      <c r="B503" s="1" t="s">
        <v>1</v>
      </c>
      <c r="C503" s="2" t="s">
        <v>195</v>
      </c>
    </row>
    <row r="504" spans="1:3" x14ac:dyDescent="0.25">
      <c r="A504" s="4" t="s">
        <v>154</v>
      </c>
      <c r="B504" s="1" t="s">
        <v>1</v>
      </c>
      <c r="C504" s="2">
        <v>1</v>
      </c>
    </row>
    <row r="505" spans="1:3" x14ac:dyDescent="0.25">
      <c r="A505" s="4" t="s">
        <v>153</v>
      </c>
      <c r="B505" s="1" t="s">
        <v>1</v>
      </c>
      <c r="C505" s="2">
        <v>1</v>
      </c>
    </row>
    <row r="506" spans="1:3" x14ac:dyDescent="0.25">
      <c r="A506" s="4" t="s">
        <v>152</v>
      </c>
      <c r="B506" s="1" t="s">
        <v>1</v>
      </c>
      <c r="C506" s="2" t="s">
        <v>433</v>
      </c>
    </row>
    <row r="507" spans="1:3" x14ac:dyDescent="0.25">
      <c r="A507" s="4" t="s">
        <v>122</v>
      </c>
      <c r="B507" s="1" t="s">
        <v>1</v>
      </c>
      <c r="C507" s="2" t="s">
        <v>677</v>
      </c>
    </row>
    <row r="509" spans="1:3" s="7" customFormat="1" ht="15.75" x14ac:dyDescent="0.3">
      <c r="A509" s="5" t="s">
        <v>434</v>
      </c>
      <c r="B509" s="5"/>
      <c r="C509" s="6"/>
    </row>
    <row r="510" spans="1:3" x14ac:dyDescent="0.25">
      <c r="A510" s="4" t="s">
        <v>156</v>
      </c>
      <c r="B510" s="1" t="s">
        <v>1</v>
      </c>
      <c r="C510" s="2" t="s">
        <v>195</v>
      </c>
    </row>
    <row r="511" spans="1:3" x14ac:dyDescent="0.25">
      <c r="A511" s="4" t="s">
        <v>154</v>
      </c>
      <c r="B511" s="1" t="s">
        <v>1</v>
      </c>
      <c r="C511" s="2">
        <v>1</v>
      </c>
    </row>
    <row r="512" spans="1:3" x14ac:dyDescent="0.25">
      <c r="A512" s="4" t="s">
        <v>153</v>
      </c>
      <c r="B512" s="1" t="s">
        <v>1</v>
      </c>
      <c r="C512" s="2">
        <v>1</v>
      </c>
    </row>
    <row r="513" spans="1:3" x14ac:dyDescent="0.25">
      <c r="A513" s="4" t="s">
        <v>152</v>
      </c>
      <c r="B513" s="1" t="s">
        <v>1</v>
      </c>
      <c r="C513" s="2" t="s">
        <v>435</v>
      </c>
    </row>
    <row r="514" spans="1:3" x14ac:dyDescent="0.25">
      <c r="A514" s="4" t="s">
        <v>122</v>
      </c>
      <c r="B514" s="1" t="s">
        <v>1</v>
      </c>
      <c r="C514" s="2" t="s">
        <v>678</v>
      </c>
    </row>
    <row r="516" spans="1:3" s="7" customFormat="1" ht="15.75" x14ac:dyDescent="0.3">
      <c r="A516" s="5" t="s">
        <v>436</v>
      </c>
      <c r="B516" s="5"/>
      <c r="C516" s="6"/>
    </row>
    <row r="517" spans="1:3" x14ac:dyDescent="0.25">
      <c r="A517" s="4" t="s">
        <v>156</v>
      </c>
      <c r="B517" s="1" t="s">
        <v>1</v>
      </c>
      <c r="C517" s="2" t="s">
        <v>195</v>
      </c>
    </row>
    <row r="518" spans="1:3" x14ac:dyDescent="0.25">
      <c r="A518" s="4" t="s">
        <v>154</v>
      </c>
      <c r="B518" s="1" t="s">
        <v>1</v>
      </c>
      <c r="C518" s="2">
        <v>1</v>
      </c>
    </row>
    <row r="519" spans="1:3" x14ac:dyDescent="0.25">
      <c r="A519" s="4" t="s">
        <v>153</v>
      </c>
      <c r="B519" s="1" t="s">
        <v>1</v>
      </c>
      <c r="C519" s="2">
        <v>1</v>
      </c>
    </row>
    <row r="520" spans="1:3" x14ac:dyDescent="0.25">
      <c r="A520" s="4" t="s">
        <v>152</v>
      </c>
      <c r="B520" s="1" t="s">
        <v>1</v>
      </c>
      <c r="C520" s="2" t="s">
        <v>416</v>
      </c>
    </row>
    <row r="521" spans="1:3" x14ac:dyDescent="0.25">
      <c r="A521" s="4" t="s">
        <v>122</v>
      </c>
      <c r="B521" s="1" t="s">
        <v>1</v>
      </c>
      <c r="C521" s="2" t="s">
        <v>417</v>
      </c>
    </row>
    <row r="523" spans="1:3" s="7" customFormat="1" ht="15.75" x14ac:dyDescent="0.3">
      <c r="A523" s="5" t="s">
        <v>437</v>
      </c>
      <c r="B523" s="5"/>
      <c r="C523" s="6"/>
    </row>
    <row r="524" spans="1:3" x14ac:dyDescent="0.25">
      <c r="A524" s="4" t="s">
        <v>156</v>
      </c>
      <c r="B524" s="1" t="s">
        <v>1</v>
      </c>
      <c r="C524" s="2" t="s">
        <v>195</v>
      </c>
    </row>
    <row r="525" spans="1:3" x14ac:dyDescent="0.25">
      <c r="A525" s="4" t="s">
        <v>154</v>
      </c>
      <c r="B525" s="1" t="s">
        <v>1</v>
      </c>
      <c r="C525" s="2">
        <v>0</v>
      </c>
    </row>
    <row r="526" spans="1:3" x14ac:dyDescent="0.25">
      <c r="A526" s="4" t="s">
        <v>153</v>
      </c>
      <c r="B526" s="1" t="s">
        <v>1</v>
      </c>
      <c r="C526" s="2">
        <v>1</v>
      </c>
    </row>
    <row r="527" spans="1:3" x14ac:dyDescent="0.25">
      <c r="A527" s="4" t="s">
        <v>152</v>
      </c>
      <c r="B527" s="1" t="s">
        <v>1</v>
      </c>
      <c r="C527" s="2" t="s">
        <v>195</v>
      </c>
    </row>
    <row r="528" spans="1:3" x14ac:dyDescent="0.25">
      <c r="A528" s="4" t="s">
        <v>122</v>
      </c>
      <c r="B528" s="1" t="s">
        <v>1</v>
      </c>
      <c r="C528" s="2" t="s">
        <v>438</v>
      </c>
    </row>
    <row r="530" spans="1:3" x14ac:dyDescent="0.25">
      <c r="A530" s="4" t="s">
        <v>391</v>
      </c>
    </row>
    <row r="533" spans="1:3" s="7" customFormat="1" ht="15.75" x14ac:dyDescent="0.3">
      <c r="A533" s="5" t="s">
        <v>439</v>
      </c>
      <c r="B533" s="5"/>
      <c r="C533" s="6"/>
    </row>
    <row r="534" spans="1:3" x14ac:dyDescent="0.25">
      <c r="A534" s="4" t="s">
        <v>156</v>
      </c>
      <c r="B534" s="1" t="s">
        <v>1</v>
      </c>
      <c r="C534" s="2" t="s">
        <v>440</v>
      </c>
    </row>
    <row r="535" spans="1:3" x14ac:dyDescent="0.25">
      <c r="A535" s="4" t="s">
        <v>154</v>
      </c>
      <c r="B535" s="1" t="s">
        <v>1</v>
      </c>
      <c r="C535" s="2">
        <v>2</v>
      </c>
    </row>
    <row r="536" spans="1:3" x14ac:dyDescent="0.25">
      <c r="A536" s="4" t="s">
        <v>153</v>
      </c>
      <c r="B536" s="1" t="s">
        <v>1</v>
      </c>
      <c r="C536" s="2">
        <v>2</v>
      </c>
    </row>
    <row r="537" spans="1:3" x14ac:dyDescent="0.25">
      <c r="A537" s="4" t="s">
        <v>152</v>
      </c>
      <c r="B537" s="1" t="s">
        <v>1</v>
      </c>
      <c r="C537" s="2" t="s">
        <v>369</v>
      </c>
    </row>
    <row r="538" spans="1:3" x14ac:dyDescent="0.25">
      <c r="A538" s="4" t="s">
        <v>151</v>
      </c>
      <c r="B538" s="1" t="s">
        <v>1</v>
      </c>
      <c r="C538" s="2" t="s">
        <v>370</v>
      </c>
    </row>
    <row r="539" spans="1:3" x14ac:dyDescent="0.25">
      <c r="A539" s="4" t="s">
        <v>122</v>
      </c>
      <c r="B539" s="1" t="s">
        <v>1</v>
      </c>
      <c r="C539" s="2" t="s">
        <v>844</v>
      </c>
    </row>
    <row r="540" spans="1:3" x14ac:dyDescent="0.25">
      <c r="A540" s="4" t="s">
        <v>121</v>
      </c>
      <c r="B540" s="1" t="s">
        <v>1</v>
      </c>
      <c r="C540" s="2" t="s">
        <v>441</v>
      </c>
    </row>
    <row r="542" spans="1:3" s="7" customFormat="1" ht="15.75" x14ac:dyDescent="0.3">
      <c r="A542" s="5" t="s">
        <v>641</v>
      </c>
      <c r="B542" s="5"/>
      <c r="C542" s="6"/>
    </row>
    <row r="543" spans="1:3" x14ac:dyDescent="0.25">
      <c r="A543" s="4" t="s">
        <v>156</v>
      </c>
      <c r="B543" s="1" t="s">
        <v>1</v>
      </c>
      <c r="C543" s="2" t="s">
        <v>636</v>
      </c>
    </row>
    <row r="544" spans="1:3" x14ac:dyDescent="0.25">
      <c r="A544" s="4" t="s">
        <v>154</v>
      </c>
      <c r="B544" s="1" t="s">
        <v>1</v>
      </c>
      <c r="C544" s="2">
        <v>4</v>
      </c>
    </row>
    <row r="545" spans="1:3" x14ac:dyDescent="0.25">
      <c r="A545" s="4" t="s">
        <v>153</v>
      </c>
      <c r="B545" s="1" t="s">
        <v>1</v>
      </c>
      <c r="C545" s="2">
        <v>4</v>
      </c>
    </row>
    <row r="546" spans="1:3" x14ac:dyDescent="0.25">
      <c r="A546" s="4" t="s">
        <v>152</v>
      </c>
      <c r="B546" s="1" t="s">
        <v>1</v>
      </c>
      <c r="C546" s="2" t="s">
        <v>637</v>
      </c>
    </row>
    <row r="547" spans="1:3" x14ac:dyDescent="0.25">
      <c r="A547" s="4" t="s">
        <v>151</v>
      </c>
      <c r="B547" s="1" t="s">
        <v>1</v>
      </c>
      <c r="C547" s="2" t="s">
        <v>640</v>
      </c>
    </row>
    <row r="548" spans="1:3" x14ac:dyDescent="0.25">
      <c r="A548" s="4" t="s">
        <v>150</v>
      </c>
      <c r="B548" s="1" t="s">
        <v>1</v>
      </c>
      <c r="C548" s="2" t="s">
        <v>639</v>
      </c>
    </row>
    <row r="549" spans="1:3" x14ac:dyDescent="0.25">
      <c r="A549" s="4" t="s">
        <v>149</v>
      </c>
      <c r="B549" s="1" t="s">
        <v>1</v>
      </c>
      <c r="C549" s="2" t="s">
        <v>638</v>
      </c>
    </row>
    <row r="550" spans="1:3" x14ac:dyDescent="0.25">
      <c r="A550" s="4" t="s">
        <v>122</v>
      </c>
      <c r="B550" s="1" t="s">
        <v>1</v>
      </c>
      <c r="C550" s="2" t="s">
        <v>844</v>
      </c>
    </row>
    <row r="551" spans="1:3" x14ac:dyDescent="0.25">
      <c r="A551" s="4" t="s">
        <v>121</v>
      </c>
      <c r="B551" s="1" t="s">
        <v>1</v>
      </c>
      <c r="C551" s="2" t="s">
        <v>679</v>
      </c>
    </row>
    <row r="552" spans="1:3" x14ac:dyDescent="0.25">
      <c r="A552" s="4" t="s">
        <v>120</v>
      </c>
      <c r="B552" s="1" t="s">
        <v>1</v>
      </c>
      <c r="C552" s="2" t="s">
        <v>846</v>
      </c>
    </row>
    <row r="553" spans="1:3" x14ac:dyDescent="0.25">
      <c r="A553" s="4" t="s">
        <v>119</v>
      </c>
      <c r="B553" s="1" t="s">
        <v>1</v>
      </c>
      <c r="C553" s="2" t="s">
        <v>441</v>
      </c>
    </row>
    <row r="556" spans="1:3" s="7" customFormat="1" ht="15.75" x14ac:dyDescent="0.3">
      <c r="A556" s="5" t="s">
        <v>442</v>
      </c>
      <c r="B556" s="5"/>
      <c r="C556" s="6"/>
    </row>
    <row r="557" spans="1:3" x14ac:dyDescent="0.25">
      <c r="A557" s="4" t="s">
        <v>156</v>
      </c>
      <c r="B557" s="1" t="s">
        <v>1</v>
      </c>
      <c r="C557" s="2" t="s">
        <v>195</v>
      </c>
    </row>
    <row r="558" spans="1:3" x14ac:dyDescent="0.25">
      <c r="A558" s="4" t="s">
        <v>154</v>
      </c>
      <c r="B558" s="1" t="s">
        <v>1</v>
      </c>
      <c r="C558" s="2">
        <v>2</v>
      </c>
    </row>
    <row r="559" spans="1:3" x14ac:dyDescent="0.25">
      <c r="A559" s="4" t="s">
        <v>153</v>
      </c>
      <c r="B559" s="1" t="s">
        <v>1</v>
      </c>
      <c r="C559" s="2">
        <v>2</v>
      </c>
    </row>
    <row r="560" spans="1:3" x14ac:dyDescent="0.25">
      <c r="A560" s="4" t="s">
        <v>152</v>
      </c>
      <c r="B560" s="1" t="s">
        <v>1</v>
      </c>
      <c r="C560" s="2" t="s">
        <v>443</v>
      </c>
    </row>
    <row r="561" spans="1:3" x14ac:dyDescent="0.25">
      <c r="A561" s="4" t="s">
        <v>151</v>
      </c>
      <c r="B561" s="1" t="s">
        <v>1</v>
      </c>
      <c r="C561" s="2" t="s">
        <v>444</v>
      </c>
    </row>
    <row r="562" spans="1:3" x14ac:dyDescent="0.25">
      <c r="A562" s="4" t="s">
        <v>122</v>
      </c>
      <c r="B562" s="1" t="s">
        <v>1</v>
      </c>
      <c r="C562" s="2" t="s">
        <v>845</v>
      </c>
    </row>
    <row r="563" spans="1:3" x14ac:dyDescent="0.25">
      <c r="A563" s="4" t="s">
        <v>121</v>
      </c>
      <c r="B563" s="1" t="s">
        <v>1</v>
      </c>
      <c r="C563" s="2" t="s">
        <v>445</v>
      </c>
    </row>
    <row r="565" spans="1:3" s="7" customFormat="1" ht="15.75" x14ac:dyDescent="0.3">
      <c r="A565" s="5" t="s">
        <v>446</v>
      </c>
      <c r="B565" s="5"/>
      <c r="C565" s="6"/>
    </row>
    <row r="566" spans="1:3" x14ac:dyDescent="0.25">
      <c r="A566" s="4" t="s">
        <v>156</v>
      </c>
      <c r="B566" s="1" t="s">
        <v>1</v>
      </c>
      <c r="C566" s="2" t="s">
        <v>195</v>
      </c>
    </row>
    <row r="567" spans="1:3" x14ac:dyDescent="0.25">
      <c r="A567" s="4" t="s">
        <v>154</v>
      </c>
      <c r="B567" s="1" t="s">
        <v>1</v>
      </c>
      <c r="C567" s="2">
        <v>2</v>
      </c>
    </row>
    <row r="568" spans="1:3" x14ac:dyDescent="0.25">
      <c r="A568" s="4" t="s">
        <v>153</v>
      </c>
      <c r="B568" s="1" t="s">
        <v>1</v>
      </c>
      <c r="C568" s="2">
        <v>2</v>
      </c>
    </row>
    <row r="569" spans="1:3" x14ac:dyDescent="0.25">
      <c r="A569" s="4" t="s">
        <v>152</v>
      </c>
      <c r="B569" s="1" t="s">
        <v>1</v>
      </c>
      <c r="C569" s="2" t="s">
        <v>447</v>
      </c>
    </row>
    <row r="570" spans="1:3" x14ac:dyDescent="0.25">
      <c r="A570" s="4" t="s">
        <v>151</v>
      </c>
      <c r="B570" s="1" t="s">
        <v>1</v>
      </c>
      <c r="C570" s="2" t="s">
        <v>448</v>
      </c>
    </row>
    <row r="571" spans="1:3" x14ac:dyDescent="0.25">
      <c r="A571" s="4" t="s">
        <v>122</v>
      </c>
      <c r="B571" s="1" t="s">
        <v>1</v>
      </c>
      <c r="C571" s="2" t="s">
        <v>680</v>
      </c>
    </row>
    <row r="572" spans="1:3" x14ac:dyDescent="0.25">
      <c r="A572" s="4" t="s">
        <v>121</v>
      </c>
      <c r="B572" s="1" t="s">
        <v>1</v>
      </c>
      <c r="C572" s="2" t="s">
        <v>449</v>
      </c>
    </row>
    <row r="574" spans="1:3" s="7" customFormat="1" ht="15.75" x14ac:dyDescent="0.3">
      <c r="A574" s="5" t="s">
        <v>450</v>
      </c>
      <c r="B574" s="5"/>
      <c r="C574" s="6"/>
    </row>
    <row r="575" spans="1:3" x14ac:dyDescent="0.25">
      <c r="A575" s="4" t="s">
        <v>156</v>
      </c>
      <c r="B575" s="1" t="s">
        <v>1</v>
      </c>
      <c r="C575" s="2" t="s">
        <v>195</v>
      </c>
    </row>
    <row r="576" spans="1:3" x14ac:dyDescent="0.25">
      <c r="A576" s="4" t="s">
        <v>154</v>
      </c>
      <c r="B576" s="1" t="s">
        <v>1</v>
      </c>
      <c r="C576" s="2">
        <v>2</v>
      </c>
    </row>
    <row r="577" spans="1:3" x14ac:dyDescent="0.25">
      <c r="A577" s="4" t="s">
        <v>153</v>
      </c>
      <c r="B577" s="1" t="s">
        <v>1</v>
      </c>
      <c r="C577" s="2">
        <v>2</v>
      </c>
    </row>
    <row r="578" spans="1:3" x14ac:dyDescent="0.25">
      <c r="A578" s="4" t="s">
        <v>152</v>
      </c>
      <c r="B578" s="1" t="s">
        <v>1</v>
      </c>
      <c r="C578" s="2" t="s">
        <v>451</v>
      </c>
    </row>
    <row r="579" spans="1:3" x14ac:dyDescent="0.25">
      <c r="A579" s="4" t="s">
        <v>151</v>
      </c>
      <c r="B579" s="1" t="s">
        <v>1</v>
      </c>
      <c r="C579" s="2" t="s">
        <v>452</v>
      </c>
    </row>
    <row r="580" spans="1:3" x14ac:dyDescent="0.25">
      <c r="A580" s="4" t="s">
        <v>122</v>
      </c>
      <c r="B580" s="1" t="s">
        <v>1</v>
      </c>
      <c r="C580" s="2" t="s">
        <v>869</v>
      </c>
    </row>
    <row r="581" spans="1:3" x14ac:dyDescent="0.25">
      <c r="A581" s="4" t="s">
        <v>121</v>
      </c>
      <c r="B581" s="1" t="s">
        <v>1</v>
      </c>
      <c r="C581" s="2" t="s">
        <v>453</v>
      </c>
    </row>
    <row r="583" spans="1:3" s="7" customFormat="1" ht="15.75" x14ac:dyDescent="0.3">
      <c r="A583" s="5" t="s">
        <v>454</v>
      </c>
      <c r="B583" s="5"/>
      <c r="C583" s="6"/>
    </row>
    <row r="584" spans="1:3" x14ac:dyDescent="0.25">
      <c r="A584" s="4" t="s">
        <v>156</v>
      </c>
      <c r="B584" s="1" t="s">
        <v>1</v>
      </c>
      <c r="C584" s="2" t="s">
        <v>195</v>
      </c>
    </row>
    <row r="585" spans="1:3" x14ac:dyDescent="0.25">
      <c r="A585" s="4" t="s">
        <v>154</v>
      </c>
      <c r="B585" s="1" t="s">
        <v>1</v>
      </c>
      <c r="C585" s="2">
        <v>2</v>
      </c>
    </row>
    <row r="586" spans="1:3" x14ac:dyDescent="0.25">
      <c r="A586" s="4" t="s">
        <v>153</v>
      </c>
      <c r="B586" s="1" t="s">
        <v>1</v>
      </c>
      <c r="C586" s="2">
        <v>2</v>
      </c>
    </row>
    <row r="587" spans="1:3" x14ac:dyDescent="0.25">
      <c r="A587" s="4" t="s">
        <v>152</v>
      </c>
      <c r="B587" s="1" t="s">
        <v>1</v>
      </c>
      <c r="C587" s="2" t="s">
        <v>455</v>
      </c>
    </row>
    <row r="588" spans="1:3" x14ac:dyDescent="0.25">
      <c r="A588" s="4" t="s">
        <v>151</v>
      </c>
      <c r="B588" s="1" t="s">
        <v>1</v>
      </c>
      <c r="C588" s="2" t="s">
        <v>646</v>
      </c>
    </row>
    <row r="589" spans="1:3" x14ac:dyDescent="0.25">
      <c r="A589" s="4" t="s">
        <v>122</v>
      </c>
      <c r="B589" s="1" t="s">
        <v>1</v>
      </c>
      <c r="C589" s="2" t="s">
        <v>883</v>
      </c>
    </row>
    <row r="590" spans="1:3" x14ac:dyDescent="0.25">
      <c r="A590" s="4" t="s">
        <v>121</v>
      </c>
      <c r="B590" s="1" t="s">
        <v>1</v>
      </c>
      <c r="C590" s="2" t="s">
        <v>456</v>
      </c>
    </row>
    <row r="592" spans="1:3" s="7" customFormat="1" ht="15.75" x14ac:dyDescent="0.3">
      <c r="A592" s="5" t="s">
        <v>457</v>
      </c>
      <c r="B592" s="5"/>
      <c r="C592" s="6"/>
    </row>
    <row r="593" spans="1:3" x14ac:dyDescent="0.25">
      <c r="A593" s="4" t="s">
        <v>156</v>
      </c>
      <c r="B593" s="1" t="s">
        <v>1</v>
      </c>
      <c r="C593" s="2" t="s">
        <v>195</v>
      </c>
    </row>
    <row r="594" spans="1:3" x14ac:dyDescent="0.25">
      <c r="A594" s="4" t="s">
        <v>154</v>
      </c>
      <c r="B594" s="1" t="s">
        <v>1</v>
      </c>
      <c r="C594" s="2">
        <v>2</v>
      </c>
    </row>
    <row r="595" spans="1:3" x14ac:dyDescent="0.25">
      <c r="A595" s="4" t="s">
        <v>153</v>
      </c>
      <c r="B595" s="1" t="s">
        <v>1</v>
      </c>
      <c r="C595" s="2">
        <v>2</v>
      </c>
    </row>
    <row r="596" spans="1:3" x14ac:dyDescent="0.25">
      <c r="A596" s="4" t="s">
        <v>152</v>
      </c>
      <c r="B596" s="1" t="s">
        <v>1</v>
      </c>
      <c r="C596" s="2" t="s">
        <v>458</v>
      </c>
    </row>
    <row r="597" spans="1:3" x14ac:dyDescent="0.25">
      <c r="A597" s="4" t="s">
        <v>151</v>
      </c>
      <c r="B597" s="1" t="s">
        <v>1</v>
      </c>
      <c r="C597" s="2" t="s">
        <v>459</v>
      </c>
    </row>
    <row r="598" spans="1:3" x14ac:dyDescent="0.25">
      <c r="A598" s="4" t="s">
        <v>122</v>
      </c>
      <c r="B598" s="1" t="s">
        <v>1</v>
      </c>
      <c r="C598" s="2" t="s">
        <v>860</v>
      </c>
    </row>
    <row r="599" spans="1:3" x14ac:dyDescent="0.25">
      <c r="A599" s="4" t="s">
        <v>121</v>
      </c>
      <c r="B599" s="1" t="s">
        <v>1</v>
      </c>
      <c r="C599" s="2" t="s">
        <v>460</v>
      </c>
    </row>
    <row r="601" spans="1:3" s="7" customFormat="1" ht="15.75" x14ac:dyDescent="0.3">
      <c r="A601" s="5" t="s">
        <v>461</v>
      </c>
      <c r="B601" s="5"/>
      <c r="C601" s="6"/>
    </row>
    <row r="602" spans="1:3" x14ac:dyDescent="0.25">
      <c r="A602" s="4" t="s">
        <v>156</v>
      </c>
      <c r="B602" s="1" t="s">
        <v>1</v>
      </c>
      <c r="C602" s="2" t="s">
        <v>195</v>
      </c>
    </row>
    <row r="603" spans="1:3" x14ac:dyDescent="0.25">
      <c r="A603" s="4" t="s">
        <v>154</v>
      </c>
      <c r="B603" s="1" t="s">
        <v>1</v>
      </c>
      <c r="C603" s="2">
        <v>2</v>
      </c>
    </row>
    <row r="604" spans="1:3" x14ac:dyDescent="0.25">
      <c r="A604" s="4" t="s">
        <v>153</v>
      </c>
      <c r="B604" s="1" t="s">
        <v>1</v>
      </c>
      <c r="C604" s="2">
        <v>2</v>
      </c>
    </row>
    <row r="605" spans="1:3" x14ac:dyDescent="0.25">
      <c r="A605" s="4" t="s">
        <v>152</v>
      </c>
      <c r="B605" s="1" t="s">
        <v>1</v>
      </c>
      <c r="C605" s="2" t="s">
        <v>462</v>
      </c>
    </row>
    <row r="606" spans="1:3" x14ac:dyDescent="0.25">
      <c r="A606" s="4" t="s">
        <v>151</v>
      </c>
      <c r="B606" s="1" t="s">
        <v>1</v>
      </c>
      <c r="C606" s="2" t="s">
        <v>463</v>
      </c>
    </row>
    <row r="607" spans="1:3" x14ac:dyDescent="0.25">
      <c r="A607" s="4" t="s">
        <v>122</v>
      </c>
      <c r="B607" s="1" t="s">
        <v>1</v>
      </c>
      <c r="C607" s="2" t="s">
        <v>870</v>
      </c>
    </row>
    <row r="608" spans="1:3" x14ac:dyDescent="0.25">
      <c r="A608" s="4" t="s">
        <v>121</v>
      </c>
      <c r="B608" s="1" t="s">
        <v>1</v>
      </c>
      <c r="C608" s="2" t="s">
        <v>453</v>
      </c>
    </row>
    <row r="610" spans="1:3" s="7" customFormat="1" ht="15.75" x14ac:dyDescent="0.3">
      <c r="A610" s="5" t="s">
        <v>464</v>
      </c>
      <c r="B610" s="5"/>
      <c r="C610" s="6"/>
    </row>
    <row r="611" spans="1:3" x14ac:dyDescent="0.25">
      <c r="A611" s="4" t="s">
        <v>156</v>
      </c>
      <c r="B611" s="1" t="s">
        <v>1</v>
      </c>
      <c r="C611" s="2" t="s">
        <v>195</v>
      </c>
    </row>
    <row r="612" spans="1:3" x14ac:dyDescent="0.25">
      <c r="A612" s="4" t="s">
        <v>154</v>
      </c>
      <c r="B612" s="1" t="s">
        <v>1</v>
      </c>
      <c r="C612" s="2">
        <v>2</v>
      </c>
    </row>
    <row r="613" spans="1:3" x14ac:dyDescent="0.25">
      <c r="A613" s="4" t="s">
        <v>153</v>
      </c>
      <c r="B613" s="1" t="s">
        <v>1</v>
      </c>
      <c r="C613" s="2">
        <v>2</v>
      </c>
    </row>
    <row r="614" spans="1:3" x14ac:dyDescent="0.25">
      <c r="A614" s="4" t="s">
        <v>152</v>
      </c>
      <c r="B614" s="1" t="s">
        <v>1</v>
      </c>
      <c r="C614" s="2" t="s">
        <v>465</v>
      </c>
    </row>
    <row r="615" spans="1:3" x14ac:dyDescent="0.25">
      <c r="A615" s="4" t="s">
        <v>151</v>
      </c>
      <c r="B615" s="1" t="s">
        <v>1</v>
      </c>
      <c r="C615" s="2" t="s">
        <v>466</v>
      </c>
    </row>
    <row r="616" spans="1:3" x14ac:dyDescent="0.25">
      <c r="A616" s="4" t="s">
        <v>122</v>
      </c>
      <c r="B616" s="1" t="s">
        <v>1</v>
      </c>
      <c r="C616" s="2" t="s">
        <v>871</v>
      </c>
    </row>
    <row r="617" spans="1:3" x14ac:dyDescent="0.25">
      <c r="A617" s="4" t="s">
        <v>121</v>
      </c>
      <c r="B617" s="1" t="s">
        <v>1</v>
      </c>
      <c r="C617" s="2" t="s">
        <v>453</v>
      </c>
    </row>
    <row r="619" spans="1:3" s="7" customFormat="1" ht="15.75" x14ac:dyDescent="0.3">
      <c r="A619" s="5" t="s">
        <v>467</v>
      </c>
      <c r="B619" s="5"/>
      <c r="C619" s="6"/>
    </row>
    <row r="620" spans="1:3" x14ac:dyDescent="0.25">
      <c r="A620" s="4" t="s">
        <v>468</v>
      </c>
      <c r="B620" s="1" t="s">
        <v>1</v>
      </c>
      <c r="C620" s="2" t="s">
        <v>275</v>
      </c>
    </row>
    <row r="621" spans="1:3" x14ac:dyDescent="0.25">
      <c r="A621" s="4" t="s">
        <v>156</v>
      </c>
      <c r="B621" s="1" t="s">
        <v>1</v>
      </c>
      <c r="C621" s="2" t="s">
        <v>469</v>
      </c>
    </row>
    <row r="622" spans="1:3" x14ac:dyDescent="0.25">
      <c r="A622" s="4" t="s">
        <v>154</v>
      </c>
      <c r="B622" s="1" t="s">
        <v>1</v>
      </c>
      <c r="C622" s="2">
        <v>2</v>
      </c>
    </row>
    <row r="623" spans="1:3" x14ac:dyDescent="0.25">
      <c r="A623" s="4" t="s">
        <v>153</v>
      </c>
      <c r="B623" s="1" t="s">
        <v>1</v>
      </c>
      <c r="C623" s="2">
        <v>2</v>
      </c>
    </row>
    <row r="624" spans="1:3" x14ac:dyDescent="0.25">
      <c r="A624" s="4" t="s">
        <v>152</v>
      </c>
      <c r="B624" s="1" t="s">
        <v>1</v>
      </c>
      <c r="C624" s="2" t="s">
        <v>470</v>
      </c>
    </row>
    <row r="625" spans="1:3" x14ac:dyDescent="0.25">
      <c r="A625" s="4" t="s">
        <v>151</v>
      </c>
      <c r="B625" s="1" t="s">
        <v>1</v>
      </c>
      <c r="C625" s="2" t="s">
        <v>471</v>
      </c>
    </row>
    <row r="626" spans="1:3" x14ac:dyDescent="0.25">
      <c r="A626" s="4" t="s">
        <v>122</v>
      </c>
      <c r="B626" s="1" t="s">
        <v>1</v>
      </c>
      <c r="C626" s="2" t="s">
        <v>740</v>
      </c>
    </row>
    <row r="627" spans="1:3" x14ac:dyDescent="0.25">
      <c r="A627" s="4" t="s">
        <v>121</v>
      </c>
      <c r="B627" s="1" t="s">
        <v>1</v>
      </c>
      <c r="C627" s="2" t="s">
        <v>741</v>
      </c>
    </row>
    <row r="629" spans="1:3" s="7" customFormat="1" ht="15.75" x14ac:dyDescent="0.3">
      <c r="A629" s="5" t="s">
        <v>472</v>
      </c>
      <c r="B629" s="5"/>
      <c r="C629" s="6"/>
    </row>
    <row r="630" spans="1:3" x14ac:dyDescent="0.25">
      <c r="A630" s="4" t="s">
        <v>267</v>
      </c>
      <c r="B630" s="1" t="s">
        <v>1</v>
      </c>
      <c r="C630" s="2" t="s">
        <v>275</v>
      </c>
    </row>
    <row r="631" spans="1:3" x14ac:dyDescent="0.25">
      <c r="A631" s="4" t="s">
        <v>156</v>
      </c>
      <c r="B631" s="1" t="s">
        <v>1</v>
      </c>
      <c r="C631" s="2" t="s">
        <v>473</v>
      </c>
    </row>
    <row r="632" spans="1:3" x14ac:dyDescent="0.25">
      <c r="A632" s="4" t="s">
        <v>154</v>
      </c>
      <c r="B632" s="1" t="s">
        <v>1</v>
      </c>
      <c r="C632" s="2">
        <v>2</v>
      </c>
    </row>
    <row r="633" spans="1:3" x14ac:dyDescent="0.25">
      <c r="A633" s="4" t="s">
        <v>153</v>
      </c>
      <c r="B633" s="1" t="s">
        <v>1</v>
      </c>
      <c r="C633" s="2">
        <v>2</v>
      </c>
    </row>
    <row r="634" spans="1:3" x14ac:dyDescent="0.25">
      <c r="A634" s="4" t="s">
        <v>152</v>
      </c>
      <c r="B634" s="1" t="s">
        <v>1</v>
      </c>
      <c r="C634" s="2" t="s">
        <v>474</v>
      </c>
    </row>
    <row r="635" spans="1:3" x14ac:dyDescent="0.25">
      <c r="A635" s="4" t="s">
        <v>122</v>
      </c>
      <c r="B635" s="1" t="s">
        <v>1</v>
      </c>
      <c r="C635" s="2" t="s">
        <v>744</v>
      </c>
    </row>
    <row r="636" spans="1:3" x14ac:dyDescent="0.25">
      <c r="A636" s="4" t="s">
        <v>121</v>
      </c>
      <c r="B636" s="1" t="s">
        <v>1</v>
      </c>
      <c r="C636" s="2" t="s">
        <v>742</v>
      </c>
    </row>
    <row r="638" spans="1:3" s="7" customFormat="1" ht="15.75" x14ac:dyDescent="0.3">
      <c r="A638" s="5" t="s">
        <v>475</v>
      </c>
      <c r="B638" s="5"/>
      <c r="C638" s="6"/>
    </row>
    <row r="639" spans="1:3" x14ac:dyDescent="0.25">
      <c r="A639" s="4" t="s">
        <v>156</v>
      </c>
      <c r="B639" s="1" t="s">
        <v>1</v>
      </c>
      <c r="C639" s="2" t="s">
        <v>195</v>
      </c>
    </row>
    <row r="640" spans="1:3" x14ac:dyDescent="0.25">
      <c r="A640" s="4" t="s">
        <v>154</v>
      </c>
      <c r="B640" s="1" t="s">
        <v>1</v>
      </c>
      <c r="C640" s="2">
        <v>1</v>
      </c>
    </row>
    <row r="641" spans="1:3" x14ac:dyDescent="0.25">
      <c r="A641" s="4" t="s">
        <v>153</v>
      </c>
      <c r="B641" s="1" t="s">
        <v>1</v>
      </c>
      <c r="C641" s="2">
        <v>1</v>
      </c>
    </row>
    <row r="642" spans="1:3" x14ac:dyDescent="0.25">
      <c r="A642" s="4" t="s">
        <v>152</v>
      </c>
      <c r="B642" s="1" t="s">
        <v>1</v>
      </c>
      <c r="C642" s="2" t="s">
        <v>476</v>
      </c>
    </row>
    <row r="643" spans="1:3" x14ac:dyDescent="0.25">
      <c r="A643" s="4" t="s">
        <v>122</v>
      </c>
      <c r="B643" s="1" t="s">
        <v>1</v>
      </c>
      <c r="C643" s="2" t="s">
        <v>477</v>
      </c>
    </row>
    <row r="645" spans="1:3" s="7" customFormat="1" ht="15.75" x14ac:dyDescent="0.3">
      <c r="A645" s="5" t="s">
        <v>478</v>
      </c>
      <c r="B645" s="5"/>
      <c r="C645" s="6"/>
    </row>
    <row r="646" spans="1:3" x14ac:dyDescent="0.25">
      <c r="A646" s="4" t="s">
        <v>156</v>
      </c>
      <c r="B646" s="1" t="s">
        <v>1</v>
      </c>
      <c r="C646" s="2" t="s">
        <v>195</v>
      </c>
    </row>
    <row r="647" spans="1:3" x14ac:dyDescent="0.25">
      <c r="A647" s="4" t="s">
        <v>154</v>
      </c>
      <c r="B647" s="1" t="s">
        <v>1</v>
      </c>
      <c r="C647" s="2">
        <v>1</v>
      </c>
    </row>
    <row r="648" spans="1:3" x14ac:dyDescent="0.25">
      <c r="A648" s="4" t="s">
        <v>153</v>
      </c>
      <c r="B648" s="1" t="s">
        <v>1</v>
      </c>
      <c r="C648" s="2">
        <v>1</v>
      </c>
    </row>
    <row r="649" spans="1:3" x14ac:dyDescent="0.25">
      <c r="A649" s="4" t="s">
        <v>152</v>
      </c>
      <c r="B649" s="1" t="s">
        <v>1</v>
      </c>
      <c r="C649" s="2" t="s">
        <v>479</v>
      </c>
    </row>
    <row r="650" spans="1:3" x14ac:dyDescent="0.25">
      <c r="A650" s="4" t="s">
        <v>122</v>
      </c>
      <c r="B650" s="1" t="s">
        <v>1</v>
      </c>
      <c r="C650" s="2" t="s">
        <v>480</v>
      </c>
    </row>
    <row r="652" spans="1:3" s="7" customFormat="1" ht="15.75" x14ac:dyDescent="0.3">
      <c r="A652" s="5" t="s">
        <v>481</v>
      </c>
      <c r="B652" s="5"/>
      <c r="C652" s="6"/>
    </row>
    <row r="653" spans="1:3" x14ac:dyDescent="0.25">
      <c r="A653" s="4" t="s">
        <v>156</v>
      </c>
      <c r="B653" s="1" t="s">
        <v>1</v>
      </c>
      <c r="C653" s="2" t="s">
        <v>195</v>
      </c>
    </row>
    <row r="654" spans="1:3" x14ac:dyDescent="0.25">
      <c r="A654" s="4" t="s">
        <v>154</v>
      </c>
      <c r="B654" s="1" t="s">
        <v>1</v>
      </c>
      <c r="C654" s="2">
        <v>1</v>
      </c>
    </row>
    <row r="655" spans="1:3" x14ac:dyDescent="0.25">
      <c r="A655" s="4" t="s">
        <v>153</v>
      </c>
      <c r="B655" s="1" t="s">
        <v>1</v>
      </c>
      <c r="C655" s="2">
        <v>1</v>
      </c>
    </row>
    <row r="656" spans="1:3" x14ac:dyDescent="0.25">
      <c r="A656" s="4" t="s">
        <v>152</v>
      </c>
      <c r="B656" s="1" t="s">
        <v>1</v>
      </c>
      <c r="C656" s="2" t="s">
        <v>479</v>
      </c>
    </row>
    <row r="657" spans="1:3" x14ac:dyDescent="0.25">
      <c r="A657" s="4" t="s">
        <v>122</v>
      </c>
      <c r="B657" s="1" t="s">
        <v>1</v>
      </c>
      <c r="C657" s="2" t="s">
        <v>743</v>
      </c>
    </row>
    <row r="659" spans="1:3" s="7" customFormat="1" ht="15.75" x14ac:dyDescent="0.3">
      <c r="A659" s="5" t="s">
        <v>482</v>
      </c>
      <c r="B659" s="5"/>
      <c r="C659" s="6"/>
    </row>
    <row r="660" spans="1:3" x14ac:dyDescent="0.25">
      <c r="A660" s="4" t="s">
        <v>468</v>
      </c>
      <c r="B660" s="1" t="s">
        <v>1</v>
      </c>
      <c r="C660" s="2" t="s">
        <v>77</v>
      </c>
    </row>
    <row r="661" spans="1:3" x14ac:dyDescent="0.25">
      <c r="A661" s="4" t="s">
        <v>156</v>
      </c>
      <c r="B661" s="1" t="s">
        <v>1</v>
      </c>
      <c r="C661" s="2" t="s">
        <v>483</v>
      </c>
    </row>
    <row r="662" spans="1:3" x14ac:dyDescent="0.25">
      <c r="A662" s="4" t="s">
        <v>154</v>
      </c>
      <c r="B662" s="1" t="s">
        <v>1</v>
      </c>
      <c r="C662" s="2">
        <v>2</v>
      </c>
    </row>
    <row r="663" spans="1:3" x14ac:dyDescent="0.25">
      <c r="A663" s="4" t="s">
        <v>153</v>
      </c>
      <c r="B663" s="1" t="s">
        <v>1</v>
      </c>
      <c r="C663" s="2">
        <v>2</v>
      </c>
    </row>
    <row r="664" spans="1:3" x14ac:dyDescent="0.25">
      <c r="A664" s="4" t="s">
        <v>152</v>
      </c>
      <c r="B664" s="1" t="s">
        <v>1</v>
      </c>
      <c r="C664" s="2" t="s">
        <v>484</v>
      </c>
    </row>
    <row r="665" spans="1:3" x14ac:dyDescent="0.25">
      <c r="A665" s="4" t="s">
        <v>122</v>
      </c>
      <c r="B665" s="1" t="s">
        <v>1</v>
      </c>
      <c r="C665" s="2" t="s">
        <v>740</v>
      </c>
    </row>
    <row r="666" spans="1:3" x14ac:dyDescent="0.25">
      <c r="A666" s="4" t="s">
        <v>121</v>
      </c>
      <c r="B666" s="1" t="s">
        <v>1</v>
      </c>
      <c r="C666" s="2" t="s">
        <v>741</v>
      </c>
    </row>
    <row r="668" spans="1:3" s="7" customFormat="1" ht="15.75" x14ac:dyDescent="0.3">
      <c r="A668" s="5" t="s">
        <v>485</v>
      </c>
      <c r="B668" s="5"/>
      <c r="C668" s="6"/>
    </row>
    <row r="669" spans="1:3" x14ac:dyDescent="0.25">
      <c r="A669" s="4" t="s">
        <v>267</v>
      </c>
      <c r="B669" s="1" t="s">
        <v>1</v>
      </c>
      <c r="C669" s="2" t="s">
        <v>77</v>
      </c>
    </row>
    <row r="670" spans="1:3" x14ac:dyDescent="0.25">
      <c r="A670" s="4" t="s">
        <v>156</v>
      </c>
      <c r="B670" s="1" t="s">
        <v>1</v>
      </c>
      <c r="C670" s="2" t="s">
        <v>486</v>
      </c>
    </row>
    <row r="671" spans="1:3" x14ac:dyDescent="0.25">
      <c r="A671" s="4" t="s">
        <v>154</v>
      </c>
      <c r="B671" s="1" t="s">
        <v>1</v>
      </c>
      <c r="C671" s="2">
        <v>2</v>
      </c>
    </row>
    <row r="672" spans="1:3" x14ac:dyDescent="0.25">
      <c r="A672" s="4" t="s">
        <v>153</v>
      </c>
      <c r="B672" s="1" t="s">
        <v>1</v>
      </c>
      <c r="C672" s="2">
        <v>2</v>
      </c>
    </row>
    <row r="673" spans="1:3" x14ac:dyDescent="0.25">
      <c r="A673" s="4" t="s">
        <v>152</v>
      </c>
      <c r="B673" s="1" t="s">
        <v>1</v>
      </c>
      <c r="C673" s="2" t="s">
        <v>474</v>
      </c>
    </row>
    <row r="674" spans="1:3" x14ac:dyDescent="0.25">
      <c r="A674" s="4" t="s">
        <v>122</v>
      </c>
      <c r="B674" s="1" t="s">
        <v>1</v>
      </c>
      <c r="C674" s="2" t="s">
        <v>744</v>
      </c>
    </row>
    <row r="675" spans="1:3" x14ac:dyDescent="0.25">
      <c r="A675" s="4" t="s">
        <v>121</v>
      </c>
      <c r="B675" s="1" t="s">
        <v>1</v>
      </c>
      <c r="C675" s="2" t="s">
        <v>742</v>
      </c>
    </row>
    <row r="677" spans="1:3" s="7" customFormat="1" ht="15.75" x14ac:dyDescent="0.3">
      <c r="A677" s="5" t="s">
        <v>487</v>
      </c>
      <c r="B677" s="5"/>
      <c r="C677" s="6"/>
    </row>
    <row r="678" spans="1:3" x14ac:dyDescent="0.25">
      <c r="A678" s="4" t="s">
        <v>156</v>
      </c>
      <c r="B678" s="1" t="s">
        <v>1</v>
      </c>
      <c r="C678" s="2" t="s">
        <v>195</v>
      </c>
    </row>
    <row r="679" spans="1:3" x14ac:dyDescent="0.25">
      <c r="A679" s="4" t="s">
        <v>154</v>
      </c>
      <c r="B679" s="1" t="s">
        <v>1</v>
      </c>
      <c r="C679" s="2">
        <v>1</v>
      </c>
    </row>
    <row r="680" spans="1:3" x14ac:dyDescent="0.25">
      <c r="A680" s="4" t="s">
        <v>153</v>
      </c>
      <c r="B680" s="1" t="s">
        <v>1</v>
      </c>
      <c r="C680" s="2">
        <v>1</v>
      </c>
    </row>
    <row r="681" spans="1:3" x14ac:dyDescent="0.25">
      <c r="A681" s="4" t="s">
        <v>152</v>
      </c>
      <c r="B681" s="1" t="s">
        <v>1</v>
      </c>
      <c r="C681" s="2" t="s">
        <v>488</v>
      </c>
    </row>
    <row r="682" spans="1:3" x14ac:dyDescent="0.25">
      <c r="A682" s="4" t="s">
        <v>122</v>
      </c>
      <c r="B682" s="1" t="s">
        <v>1</v>
      </c>
      <c r="C682" s="2" t="s">
        <v>489</v>
      </c>
    </row>
    <row r="684" spans="1:3" s="7" customFormat="1" ht="15.75" x14ac:dyDescent="0.3">
      <c r="A684" s="5" t="s">
        <v>490</v>
      </c>
      <c r="B684" s="5"/>
      <c r="C684" s="6"/>
    </row>
    <row r="685" spans="1:3" x14ac:dyDescent="0.25">
      <c r="A685" s="4" t="s">
        <v>156</v>
      </c>
      <c r="B685" s="1" t="s">
        <v>1</v>
      </c>
      <c r="C685" s="2" t="s">
        <v>195</v>
      </c>
    </row>
    <row r="686" spans="1:3" x14ac:dyDescent="0.25">
      <c r="A686" s="4" t="s">
        <v>154</v>
      </c>
      <c r="B686" s="1" t="s">
        <v>1</v>
      </c>
      <c r="C686" s="2">
        <v>1</v>
      </c>
    </row>
    <row r="687" spans="1:3" x14ac:dyDescent="0.25">
      <c r="A687" s="4" t="s">
        <v>153</v>
      </c>
      <c r="B687" s="1" t="s">
        <v>1</v>
      </c>
      <c r="C687" s="2">
        <v>1</v>
      </c>
    </row>
    <row r="688" spans="1:3" x14ac:dyDescent="0.25">
      <c r="A688" s="4" t="s">
        <v>152</v>
      </c>
      <c r="B688" s="1" t="s">
        <v>1</v>
      </c>
      <c r="C688" s="2" t="s">
        <v>488</v>
      </c>
    </row>
    <row r="689" spans="1:3" x14ac:dyDescent="0.25">
      <c r="A689" s="4" t="s">
        <v>122</v>
      </c>
      <c r="B689" s="1" t="s">
        <v>1</v>
      </c>
      <c r="C689" s="2" t="s">
        <v>745</v>
      </c>
    </row>
    <row r="691" spans="1:3" s="7" customFormat="1" ht="15.75" x14ac:dyDescent="0.3">
      <c r="A691" s="5" t="s">
        <v>491</v>
      </c>
      <c r="B691" s="5"/>
      <c r="C691" s="6"/>
    </row>
    <row r="692" spans="1:3" x14ac:dyDescent="0.25">
      <c r="A692" s="4" t="s">
        <v>156</v>
      </c>
      <c r="B692" s="1" t="s">
        <v>1</v>
      </c>
      <c r="C692" s="2" t="s">
        <v>195</v>
      </c>
    </row>
    <row r="693" spans="1:3" x14ac:dyDescent="0.25">
      <c r="A693" s="4" t="s">
        <v>154</v>
      </c>
      <c r="B693" s="1" t="s">
        <v>1</v>
      </c>
      <c r="C693" s="2">
        <v>1</v>
      </c>
    </row>
    <row r="694" spans="1:3" x14ac:dyDescent="0.25">
      <c r="A694" s="4" t="s">
        <v>153</v>
      </c>
      <c r="B694" s="1" t="s">
        <v>1</v>
      </c>
      <c r="C694" s="2">
        <v>1</v>
      </c>
    </row>
    <row r="695" spans="1:3" x14ac:dyDescent="0.25">
      <c r="A695" s="4" t="s">
        <v>152</v>
      </c>
      <c r="B695" s="1" t="s">
        <v>1</v>
      </c>
      <c r="C695" s="2" t="s">
        <v>488</v>
      </c>
    </row>
    <row r="696" spans="1:3" x14ac:dyDescent="0.25">
      <c r="A696" s="4" t="s">
        <v>122</v>
      </c>
      <c r="B696" s="1" t="s">
        <v>1</v>
      </c>
      <c r="C696" s="2" t="s">
        <v>853</v>
      </c>
    </row>
    <row r="698" spans="1:3" s="7" customFormat="1" ht="15.75" x14ac:dyDescent="0.3">
      <c r="A698" s="5" t="s">
        <v>492</v>
      </c>
      <c r="B698" s="5"/>
      <c r="C698" s="6"/>
    </row>
    <row r="699" spans="1:3" x14ac:dyDescent="0.25">
      <c r="A699" s="4" t="s">
        <v>156</v>
      </c>
      <c r="B699" s="1" t="s">
        <v>1</v>
      </c>
      <c r="C699" s="2" t="s">
        <v>493</v>
      </c>
    </row>
    <row r="700" spans="1:3" x14ac:dyDescent="0.25">
      <c r="A700" s="4" t="s">
        <v>154</v>
      </c>
      <c r="B700" s="1" t="s">
        <v>1</v>
      </c>
      <c r="C700" s="2">
        <v>1</v>
      </c>
    </row>
    <row r="701" spans="1:3" x14ac:dyDescent="0.25">
      <c r="A701" s="4" t="s">
        <v>153</v>
      </c>
      <c r="B701" s="1" t="s">
        <v>1</v>
      </c>
      <c r="C701" s="2">
        <v>1</v>
      </c>
    </row>
    <row r="702" spans="1:3" x14ac:dyDescent="0.25">
      <c r="A702" s="4" t="s">
        <v>152</v>
      </c>
      <c r="B702" s="1" t="s">
        <v>1</v>
      </c>
      <c r="C702" s="2" t="s">
        <v>494</v>
      </c>
    </row>
    <row r="703" spans="1:3" x14ac:dyDescent="0.25">
      <c r="A703" s="4" t="s">
        <v>122</v>
      </c>
      <c r="B703" s="1" t="s">
        <v>1</v>
      </c>
      <c r="C703" s="2" t="s">
        <v>850</v>
      </c>
    </row>
    <row r="705" spans="1:3" s="7" customFormat="1" ht="15.75" x14ac:dyDescent="0.3">
      <c r="A705" s="5" t="s">
        <v>495</v>
      </c>
      <c r="B705" s="5"/>
      <c r="C705" s="6"/>
    </row>
    <row r="706" spans="1:3" x14ac:dyDescent="0.25">
      <c r="A706" s="4" t="s">
        <v>156</v>
      </c>
      <c r="B706" s="1" t="s">
        <v>1</v>
      </c>
      <c r="C706" s="2" t="s">
        <v>496</v>
      </c>
    </row>
    <row r="707" spans="1:3" x14ac:dyDescent="0.25">
      <c r="A707" s="4" t="s">
        <v>154</v>
      </c>
      <c r="B707" s="1" t="s">
        <v>1</v>
      </c>
      <c r="C707" s="2">
        <v>2</v>
      </c>
    </row>
    <row r="708" spans="1:3" x14ac:dyDescent="0.25">
      <c r="A708" s="4" t="s">
        <v>153</v>
      </c>
      <c r="B708" s="1" t="s">
        <v>1</v>
      </c>
      <c r="C708" s="2">
        <v>2</v>
      </c>
    </row>
    <row r="709" spans="1:3" x14ac:dyDescent="0.25">
      <c r="A709" s="4" t="s">
        <v>152</v>
      </c>
      <c r="B709" s="1" t="s">
        <v>1</v>
      </c>
      <c r="C709" s="2" t="s">
        <v>497</v>
      </c>
    </row>
    <row r="710" spans="1:3" x14ac:dyDescent="0.25">
      <c r="A710" s="4" t="s">
        <v>122</v>
      </c>
      <c r="B710" s="1" t="s">
        <v>1</v>
      </c>
      <c r="C710" s="2" t="s">
        <v>851</v>
      </c>
    </row>
    <row r="711" spans="1:3" x14ac:dyDescent="0.25">
      <c r="A711" s="4" t="s">
        <v>121</v>
      </c>
      <c r="B711" s="1" t="s">
        <v>1</v>
      </c>
      <c r="C711" s="2" t="s">
        <v>746</v>
      </c>
    </row>
    <row r="713" spans="1:3" s="7" customFormat="1" ht="15.75" x14ac:dyDescent="0.3">
      <c r="A713" s="5" t="s">
        <v>498</v>
      </c>
      <c r="B713" s="5"/>
      <c r="C713" s="6"/>
    </row>
    <row r="714" spans="1:3" x14ac:dyDescent="0.25">
      <c r="A714" s="4" t="s">
        <v>156</v>
      </c>
      <c r="B714" s="1" t="s">
        <v>1</v>
      </c>
      <c r="C714" s="2" t="s">
        <v>499</v>
      </c>
    </row>
    <row r="715" spans="1:3" x14ac:dyDescent="0.25">
      <c r="A715" s="4" t="s">
        <v>154</v>
      </c>
      <c r="B715" s="1" t="s">
        <v>1</v>
      </c>
      <c r="C715" s="2">
        <v>1</v>
      </c>
    </row>
    <row r="716" spans="1:3" x14ac:dyDescent="0.25">
      <c r="A716" s="4" t="s">
        <v>153</v>
      </c>
      <c r="B716" s="1" t="s">
        <v>1</v>
      </c>
      <c r="C716" s="2">
        <v>1</v>
      </c>
    </row>
    <row r="717" spans="1:3" x14ac:dyDescent="0.25">
      <c r="A717" s="4" t="s">
        <v>152</v>
      </c>
      <c r="B717" s="1" t="s">
        <v>1</v>
      </c>
      <c r="C717" s="2" t="s">
        <v>500</v>
      </c>
    </row>
    <row r="718" spans="1:3" x14ac:dyDescent="0.25">
      <c r="A718" s="4" t="s">
        <v>122</v>
      </c>
      <c r="B718" s="1" t="s">
        <v>1</v>
      </c>
      <c r="C718" s="2" t="s">
        <v>851</v>
      </c>
    </row>
    <row r="720" spans="1:3" s="7" customFormat="1" ht="15.75" x14ac:dyDescent="0.3">
      <c r="A720" s="5" t="s">
        <v>501</v>
      </c>
      <c r="B720" s="5"/>
      <c r="C720" s="6"/>
    </row>
    <row r="721" spans="1:3" x14ac:dyDescent="0.25">
      <c r="A721" s="4" t="s">
        <v>156</v>
      </c>
      <c r="B721" s="1" t="s">
        <v>1</v>
      </c>
      <c r="C721" s="2" t="s">
        <v>502</v>
      </c>
    </row>
    <row r="722" spans="1:3" x14ac:dyDescent="0.25">
      <c r="A722" s="4" t="s">
        <v>154</v>
      </c>
      <c r="B722" s="1" t="s">
        <v>1</v>
      </c>
      <c r="C722" s="2">
        <v>2</v>
      </c>
    </row>
    <row r="723" spans="1:3" x14ac:dyDescent="0.25">
      <c r="A723" s="4" t="s">
        <v>153</v>
      </c>
      <c r="B723" s="1" t="s">
        <v>1</v>
      </c>
      <c r="C723" s="2">
        <v>2</v>
      </c>
    </row>
    <row r="724" spans="1:3" x14ac:dyDescent="0.25">
      <c r="A724" s="4" t="s">
        <v>152</v>
      </c>
      <c r="B724" s="1" t="s">
        <v>1</v>
      </c>
      <c r="C724" s="2" t="s">
        <v>503</v>
      </c>
    </row>
    <row r="725" spans="1:3" x14ac:dyDescent="0.25">
      <c r="A725" s="4" t="s">
        <v>122</v>
      </c>
      <c r="B725" s="1" t="s">
        <v>1</v>
      </c>
      <c r="C725" s="2" t="s">
        <v>851</v>
      </c>
    </row>
    <row r="726" spans="1:3" x14ac:dyDescent="0.25">
      <c r="A726" s="4" t="s">
        <v>121</v>
      </c>
      <c r="B726" s="1" t="s">
        <v>1</v>
      </c>
      <c r="C726" s="2" t="s">
        <v>746</v>
      </c>
    </row>
    <row r="728" spans="1:3" s="7" customFormat="1" ht="15.75" x14ac:dyDescent="0.3">
      <c r="A728" s="5" t="s">
        <v>504</v>
      </c>
      <c r="B728" s="5"/>
      <c r="C728" s="6"/>
    </row>
    <row r="729" spans="1:3" x14ac:dyDescent="0.25">
      <c r="A729" s="4" t="s">
        <v>156</v>
      </c>
      <c r="B729" s="1" t="s">
        <v>1</v>
      </c>
      <c r="C729" s="2" t="s">
        <v>195</v>
      </c>
    </row>
    <row r="730" spans="1:3" x14ac:dyDescent="0.25">
      <c r="A730" s="4" t="s">
        <v>154</v>
      </c>
      <c r="B730" s="1" t="s">
        <v>1</v>
      </c>
      <c r="C730" s="2">
        <v>1</v>
      </c>
    </row>
    <row r="731" spans="1:3" x14ac:dyDescent="0.25">
      <c r="A731" s="4" t="s">
        <v>153</v>
      </c>
      <c r="B731" s="1" t="s">
        <v>1</v>
      </c>
      <c r="C731" s="2">
        <v>1</v>
      </c>
    </row>
    <row r="732" spans="1:3" x14ac:dyDescent="0.25">
      <c r="A732" s="4" t="s">
        <v>152</v>
      </c>
      <c r="B732" s="1" t="s">
        <v>1</v>
      </c>
      <c r="C732" s="2" t="s">
        <v>505</v>
      </c>
    </row>
    <row r="733" spans="1:3" x14ac:dyDescent="0.25">
      <c r="A733" s="4" t="s">
        <v>122</v>
      </c>
      <c r="B733" s="1" t="s">
        <v>1</v>
      </c>
      <c r="C733" s="2" t="s">
        <v>506</v>
      </c>
    </row>
    <row r="735" spans="1:3" s="7" customFormat="1" ht="15.75" x14ac:dyDescent="0.3">
      <c r="A735" s="5" t="s">
        <v>507</v>
      </c>
      <c r="B735" s="5"/>
      <c r="C735" s="6"/>
    </row>
    <row r="736" spans="1:3" x14ac:dyDescent="0.25">
      <c r="A736" s="4" t="s">
        <v>156</v>
      </c>
      <c r="B736" s="1" t="s">
        <v>1</v>
      </c>
      <c r="C736" s="2" t="s">
        <v>508</v>
      </c>
    </row>
    <row r="737" spans="1:3" x14ac:dyDescent="0.25">
      <c r="A737" s="4" t="s">
        <v>154</v>
      </c>
      <c r="B737" s="1" t="s">
        <v>1</v>
      </c>
      <c r="C737" s="2">
        <v>1</v>
      </c>
    </row>
    <row r="738" spans="1:3" x14ac:dyDescent="0.25">
      <c r="A738" s="4" t="s">
        <v>153</v>
      </c>
      <c r="B738" s="1" t="s">
        <v>1</v>
      </c>
      <c r="C738" s="2">
        <v>1</v>
      </c>
    </row>
    <row r="739" spans="1:3" x14ac:dyDescent="0.25">
      <c r="A739" s="4" t="s">
        <v>152</v>
      </c>
      <c r="B739" s="1" t="s">
        <v>1</v>
      </c>
      <c r="C739" s="2" t="s">
        <v>509</v>
      </c>
    </row>
    <row r="740" spans="1:3" x14ac:dyDescent="0.25">
      <c r="A740" s="4" t="s">
        <v>122</v>
      </c>
      <c r="B740" s="1" t="s">
        <v>1</v>
      </c>
      <c r="C740" s="2" t="s">
        <v>859</v>
      </c>
    </row>
    <row r="742" spans="1:3" s="7" customFormat="1" ht="15.75" x14ac:dyDescent="0.3">
      <c r="A742" s="5" t="s">
        <v>510</v>
      </c>
      <c r="B742" s="5"/>
      <c r="C742" s="6"/>
    </row>
    <row r="743" spans="1:3" x14ac:dyDescent="0.25">
      <c r="A743" s="4" t="s">
        <v>156</v>
      </c>
      <c r="B743" s="1" t="s">
        <v>1</v>
      </c>
      <c r="C743" s="2" t="s">
        <v>508</v>
      </c>
    </row>
    <row r="744" spans="1:3" x14ac:dyDescent="0.25">
      <c r="A744" s="4" t="s">
        <v>154</v>
      </c>
      <c r="B744" s="1" t="s">
        <v>1</v>
      </c>
      <c r="C744" s="2">
        <v>2</v>
      </c>
    </row>
    <row r="745" spans="1:3" x14ac:dyDescent="0.25">
      <c r="A745" s="4" t="s">
        <v>153</v>
      </c>
      <c r="B745" s="1" t="s">
        <v>1</v>
      </c>
      <c r="C745" s="2">
        <v>2</v>
      </c>
    </row>
    <row r="746" spans="1:3" x14ac:dyDescent="0.25">
      <c r="A746" s="4" t="s">
        <v>152</v>
      </c>
      <c r="B746" s="1" t="s">
        <v>1</v>
      </c>
      <c r="C746" s="2" t="s">
        <v>509</v>
      </c>
    </row>
    <row r="747" spans="1:3" x14ac:dyDescent="0.25">
      <c r="A747" s="4" t="s">
        <v>122</v>
      </c>
      <c r="B747" s="1" t="s">
        <v>1</v>
      </c>
      <c r="C747" s="2" t="s">
        <v>859</v>
      </c>
    </row>
    <row r="748" spans="1:3" x14ac:dyDescent="0.25">
      <c r="A748" s="4" t="s">
        <v>121</v>
      </c>
      <c r="B748" s="1" t="s">
        <v>1</v>
      </c>
      <c r="C748" s="2" t="s">
        <v>747</v>
      </c>
    </row>
    <row r="750" spans="1:3" s="7" customFormat="1" ht="15.75" x14ac:dyDescent="0.3">
      <c r="A750" s="5" t="s">
        <v>511</v>
      </c>
      <c r="B750" s="5"/>
      <c r="C750" s="6"/>
    </row>
    <row r="751" spans="1:3" x14ac:dyDescent="0.25">
      <c r="A751" s="4" t="s">
        <v>156</v>
      </c>
      <c r="B751" s="1" t="s">
        <v>1</v>
      </c>
      <c r="C751" s="2" t="s">
        <v>512</v>
      </c>
    </row>
    <row r="752" spans="1:3" x14ac:dyDescent="0.25">
      <c r="A752" s="4" t="s">
        <v>154</v>
      </c>
      <c r="B752" s="1" t="s">
        <v>1</v>
      </c>
      <c r="C752" s="2">
        <v>2</v>
      </c>
    </row>
    <row r="753" spans="1:3" x14ac:dyDescent="0.25">
      <c r="A753" s="4" t="s">
        <v>153</v>
      </c>
      <c r="B753" s="1" t="s">
        <v>1</v>
      </c>
      <c r="C753" s="2">
        <v>2</v>
      </c>
    </row>
    <row r="754" spans="1:3" x14ac:dyDescent="0.25">
      <c r="A754" s="4" t="s">
        <v>152</v>
      </c>
      <c r="B754" s="1" t="s">
        <v>1</v>
      </c>
      <c r="C754" s="2" t="s">
        <v>509</v>
      </c>
    </row>
    <row r="755" spans="1:3" x14ac:dyDescent="0.25">
      <c r="A755" s="4" t="s">
        <v>122</v>
      </c>
      <c r="B755" s="1" t="s">
        <v>1</v>
      </c>
      <c r="C755" s="2" t="s">
        <v>859</v>
      </c>
    </row>
    <row r="756" spans="1:3" x14ac:dyDescent="0.25">
      <c r="A756" s="4" t="s">
        <v>121</v>
      </c>
      <c r="B756" s="1" t="s">
        <v>1</v>
      </c>
      <c r="C756" s="2" t="s">
        <v>748</v>
      </c>
    </row>
    <row r="758" spans="1:3" s="7" customFormat="1" ht="15.75" x14ac:dyDescent="0.3">
      <c r="A758" s="5" t="s">
        <v>513</v>
      </c>
      <c r="B758" s="5"/>
      <c r="C758" s="6"/>
    </row>
    <row r="759" spans="1:3" x14ac:dyDescent="0.25">
      <c r="A759" s="4" t="s">
        <v>156</v>
      </c>
      <c r="B759" s="1" t="s">
        <v>1</v>
      </c>
      <c r="C759" s="2" t="s">
        <v>514</v>
      </c>
    </row>
    <row r="760" spans="1:3" x14ac:dyDescent="0.25">
      <c r="A760" s="4" t="s">
        <v>154</v>
      </c>
      <c r="B760" s="1" t="s">
        <v>1</v>
      </c>
      <c r="C760" s="2">
        <v>2</v>
      </c>
    </row>
    <row r="761" spans="1:3" x14ac:dyDescent="0.25">
      <c r="A761" s="4" t="s">
        <v>153</v>
      </c>
      <c r="B761" s="1" t="s">
        <v>1</v>
      </c>
      <c r="C761" s="2">
        <v>2</v>
      </c>
    </row>
    <row r="762" spans="1:3" x14ac:dyDescent="0.25">
      <c r="A762" s="4" t="s">
        <v>152</v>
      </c>
      <c r="B762" s="1" t="s">
        <v>1</v>
      </c>
      <c r="C762" s="2" t="s">
        <v>509</v>
      </c>
    </row>
    <row r="763" spans="1:3" x14ac:dyDescent="0.25">
      <c r="A763" s="4" t="s">
        <v>122</v>
      </c>
      <c r="B763" s="1" t="s">
        <v>1</v>
      </c>
      <c r="C763" s="2" t="s">
        <v>859</v>
      </c>
    </row>
    <row r="764" spans="1:3" x14ac:dyDescent="0.25">
      <c r="A764" s="4" t="s">
        <v>121</v>
      </c>
      <c r="B764" s="1" t="s">
        <v>1</v>
      </c>
      <c r="C764" s="2" t="s">
        <v>749</v>
      </c>
    </row>
    <row r="766" spans="1:3" s="7" customFormat="1" ht="15.75" x14ac:dyDescent="0.3">
      <c r="A766" s="5" t="s">
        <v>515</v>
      </c>
      <c r="B766" s="5"/>
      <c r="C766" s="6"/>
    </row>
    <row r="767" spans="1:3" x14ac:dyDescent="0.25">
      <c r="A767" s="4" t="s">
        <v>156</v>
      </c>
      <c r="B767" s="1" t="s">
        <v>1</v>
      </c>
      <c r="C767" s="2" t="s">
        <v>516</v>
      </c>
    </row>
    <row r="768" spans="1:3" x14ac:dyDescent="0.25">
      <c r="A768" s="4" t="s">
        <v>154</v>
      </c>
      <c r="B768" s="1" t="s">
        <v>1</v>
      </c>
      <c r="C768" s="2">
        <v>1</v>
      </c>
    </row>
    <row r="769" spans="1:3" x14ac:dyDescent="0.25">
      <c r="A769" s="4" t="s">
        <v>153</v>
      </c>
      <c r="B769" s="1" t="s">
        <v>1</v>
      </c>
      <c r="C769" s="2">
        <v>1</v>
      </c>
    </row>
    <row r="770" spans="1:3" x14ac:dyDescent="0.25">
      <c r="A770" s="4" t="s">
        <v>152</v>
      </c>
      <c r="B770" s="1" t="s">
        <v>1</v>
      </c>
      <c r="C770" s="2" t="s">
        <v>509</v>
      </c>
    </row>
    <row r="771" spans="1:3" x14ac:dyDescent="0.25">
      <c r="A771" s="4" t="s">
        <v>122</v>
      </c>
      <c r="B771" s="1" t="s">
        <v>1</v>
      </c>
      <c r="C771" s="2" t="s">
        <v>854</v>
      </c>
    </row>
    <row r="773" spans="1:3" s="7" customFormat="1" ht="15.75" x14ac:dyDescent="0.3">
      <c r="A773" s="5" t="s">
        <v>517</v>
      </c>
      <c r="B773" s="5"/>
      <c r="C773" s="6"/>
    </row>
    <row r="774" spans="1:3" x14ac:dyDescent="0.25">
      <c r="A774" s="4" t="s">
        <v>156</v>
      </c>
      <c r="B774" s="1" t="s">
        <v>1</v>
      </c>
      <c r="C774" s="2" t="s">
        <v>518</v>
      </c>
    </row>
    <row r="775" spans="1:3" x14ac:dyDescent="0.25">
      <c r="A775" s="4" t="s">
        <v>154</v>
      </c>
      <c r="B775" s="1" t="s">
        <v>1</v>
      </c>
      <c r="C775" s="2">
        <v>2</v>
      </c>
    </row>
    <row r="776" spans="1:3" x14ac:dyDescent="0.25">
      <c r="A776" s="4" t="s">
        <v>153</v>
      </c>
      <c r="B776" s="1" t="s">
        <v>1</v>
      </c>
      <c r="C776" s="2">
        <v>2</v>
      </c>
    </row>
    <row r="777" spans="1:3" x14ac:dyDescent="0.25">
      <c r="A777" s="4" t="s">
        <v>152</v>
      </c>
      <c r="B777" s="1" t="s">
        <v>1</v>
      </c>
      <c r="C777" s="2" t="s">
        <v>509</v>
      </c>
    </row>
    <row r="778" spans="1:3" x14ac:dyDescent="0.25">
      <c r="A778" s="4" t="s">
        <v>122</v>
      </c>
      <c r="B778" s="1" t="s">
        <v>1</v>
      </c>
      <c r="C778" s="2" t="s">
        <v>854</v>
      </c>
    </row>
    <row r="779" spans="1:3" x14ac:dyDescent="0.25">
      <c r="A779" s="4" t="s">
        <v>121</v>
      </c>
      <c r="B779" s="1" t="s">
        <v>1</v>
      </c>
      <c r="C779" s="2" t="s">
        <v>747</v>
      </c>
    </row>
    <row r="781" spans="1:3" s="7" customFormat="1" ht="15.75" x14ac:dyDescent="0.3">
      <c r="A781" s="5" t="s">
        <v>519</v>
      </c>
      <c r="B781" s="5"/>
      <c r="C781" s="6"/>
    </row>
    <row r="782" spans="1:3" x14ac:dyDescent="0.25">
      <c r="A782" s="4" t="s">
        <v>156</v>
      </c>
      <c r="B782" s="1" t="s">
        <v>1</v>
      </c>
      <c r="C782" s="2" t="s">
        <v>520</v>
      </c>
    </row>
    <row r="783" spans="1:3" x14ac:dyDescent="0.25">
      <c r="A783" s="4" t="s">
        <v>154</v>
      </c>
      <c r="B783" s="1" t="s">
        <v>1</v>
      </c>
      <c r="C783" s="2">
        <v>2</v>
      </c>
    </row>
    <row r="784" spans="1:3" x14ac:dyDescent="0.25">
      <c r="A784" s="4" t="s">
        <v>153</v>
      </c>
      <c r="B784" s="1" t="s">
        <v>1</v>
      </c>
      <c r="C784" s="2">
        <v>2</v>
      </c>
    </row>
    <row r="785" spans="1:3" x14ac:dyDescent="0.25">
      <c r="A785" s="4" t="s">
        <v>152</v>
      </c>
      <c r="B785" s="1" t="s">
        <v>1</v>
      </c>
      <c r="C785" s="2" t="s">
        <v>509</v>
      </c>
    </row>
    <row r="786" spans="1:3" x14ac:dyDescent="0.25">
      <c r="A786" s="4" t="s">
        <v>122</v>
      </c>
      <c r="B786" s="1" t="s">
        <v>1</v>
      </c>
      <c r="C786" s="2" t="s">
        <v>854</v>
      </c>
    </row>
    <row r="787" spans="1:3" x14ac:dyDescent="0.25">
      <c r="A787" s="4" t="s">
        <v>121</v>
      </c>
      <c r="B787" s="1" t="s">
        <v>1</v>
      </c>
      <c r="C787" s="2" t="s">
        <v>748</v>
      </c>
    </row>
    <row r="789" spans="1:3" s="7" customFormat="1" ht="15.75" x14ac:dyDescent="0.3">
      <c r="A789" s="5" t="s">
        <v>521</v>
      </c>
      <c r="B789" s="5"/>
      <c r="C789" s="6"/>
    </row>
    <row r="790" spans="1:3" x14ac:dyDescent="0.25">
      <c r="A790" s="4" t="s">
        <v>156</v>
      </c>
      <c r="B790" s="1" t="s">
        <v>1</v>
      </c>
      <c r="C790" s="2" t="s">
        <v>522</v>
      </c>
    </row>
    <row r="791" spans="1:3" x14ac:dyDescent="0.25">
      <c r="A791" s="4" t="s">
        <v>154</v>
      </c>
      <c r="B791" s="1" t="s">
        <v>1</v>
      </c>
      <c r="C791" s="2">
        <v>2</v>
      </c>
    </row>
    <row r="792" spans="1:3" x14ac:dyDescent="0.25">
      <c r="A792" s="4" t="s">
        <v>153</v>
      </c>
      <c r="B792" s="1" t="s">
        <v>1</v>
      </c>
      <c r="C792" s="2">
        <v>2</v>
      </c>
    </row>
    <row r="793" spans="1:3" x14ac:dyDescent="0.25">
      <c r="A793" s="4" t="s">
        <v>152</v>
      </c>
      <c r="B793" s="1" t="s">
        <v>1</v>
      </c>
      <c r="C793" s="2" t="s">
        <v>509</v>
      </c>
    </row>
    <row r="794" spans="1:3" x14ac:dyDescent="0.25">
      <c r="A794" s="4" t="s">
        <v>122</v>
      </c>
      <c r="B794" s="1" t="s">
        <v>1</v>
      </c>
      <c r="C794" s="2" t="s">
        <v>855</v>
      </c>
    </row>
    <row r="796" spans="1:3" s="7" customFormat="1" ht="15.75" x14ac:dyDescent="0.3">
      <c r="A796" s="5" t="s">
        <v>523</v>
      </c>
      <c r="B796" s="5"/>
      <c r="C796" s="6"/>
    </row>
    <row r="797" spans="1:3" x14ac:dyDescent="0.25">
      <c r="A797" s="4" t="s">
        <v>156</v>
      </c>
      <c r="B797" s="1" t="s">
        <v>1</v>
      </c>
      <c r="C797" s="2" t="s">
        <v>524</v>
      </c>
    </row>
    <row r="798" spans="1:3" x14ac:dyDescent="0.25">
      <c r="A798" s="4" t="s">
        <v>154</v>
      </c>
      <c r="B798" s="1" t="s">
        <v>1</v>
      </c>
      <c r="C798" s="2">
        <v>1</v>
      </c>
    </row>
    <row r="799" spans="1:3" x14ac:dyDescent="0.25">
      <c r="A799" s="4" t="s">
        <v>153</v>
      </c>
      <c r="B799" s="1" t="s">
        <v>1</v>
      </c>
      <c r="C799" s="2">
        <v>1</v>
      </c>
    </row>
    <row r="800" spans="1:3" x14ac:dyDescent="0.25">
      <c r="A800" s="4" t="s">
        <v>152</v>
      </c>
      <c r="B800" s="1" t="s">
        <v>1</v>
      </c>
      <c r="C800" s="2" t="s">
        <v>525</v>
      </c>
    </row>
    <row r="801" spans="1:3" x14ac:dyDescent="0.25">
      <c r="A801" s="4" t="s">
        <v>122</v>
      </c>
      <c r="B801" s="1" t="s">
        <v>1</v>
      </c>
      <c r="C801" s="2" t="s">
        <v>526</v>
      </c>
    </row>
    <row r="803" spans="1:3" s="7" customFormat="1" ht="15.75" x14ac:dyDescent="0.3">
      <c r="A803" s="5" t="s">
        <v>527</v>
      </c>
      <c r="B803" s="5"/>
      <c r="C803" s="6"/>
    </row>
    <row r="804" spans="1:3" x14ac:dyDescent="0.25">
      <c r="A804" s="4" t="s">
        <v>156</v>
      </c>
      <c r="B804" s="1" t="s">
        <v>1</v>
      </c>
      <c r="C804" s="2" t="s">
        <v>524</v>
      </c>
    </row>
    <row r="805" spans="1:3" x14ac:dyDescent="0.25">
      <c r="A805" s="4" t="s">
        <v>154</v>
      </c>
      <c r="B805" s="1" t="s">
        <v>1</v>
      </c>
      <c r="C805" s="2">
        <v>1</v>
      </c>
    </row>
    <row r="806" spans="1:3" x14ac:dyDescent="0.25">
      <c r="A806" s="4" t="s">
        <v>153</v>
      </c>
      <c r="B806" s="1" t="s">
        <v>1</v>
      </c>
      <c r="C806" s="2">
        <v>1</v>
      </c>
    </row>
    <row r="807" spans="1:3" x14ac:dyDescent="0.25">
      <c r="A807" s="4" t="s">
        <v>152</v>
      </c>
      <c r="B807" s="1" t="s">
        <v>1</v>
      </c>
      <c r="C807" s="2" t="s">
        <v>528</v>
      </c>
    </row>
    <row r="808" spans="1:3" x14ac:dyDescent="0.25">
      <c r="A808" s="4" t="s">
        <v>122</v>
      </c>
      <c r="B808" s="1" t="s">
        <v>1</v>
      </c>
      <c r="C808" s="2" t="s">
        <v>750</v>
      </c>
    </row>
    <row r="810" spans="1:3" s="7" customFormat="1" ht="15.75" x14ac:dyDescent="0.3">
      <c r="A810" s="5" t="s">
        <v>529</v>
      </c>
      <c r="B810" s="5"/>
      <c r="C810" s="6"/>
    </row>
    <row r="811" spans="1:3" x14ac:dyDescent="0.25">
      <c r="A811" s="4" t="s">
        <v>156</v>
      </c>
      <c r="B811" s="1" t="s">
        <v>1</v>
      </c>
      <c r="C811" s="2" t="s">
        <v>524</v>
      </c>
    </row>
    <row r="812" spans="1:3" x14ac:dyDescent="0.25">
      <c r="A812" s="4" t="s">
        <v>154</v>
      </c>
      <c r="B812" s="1" t="s">
        <v>1</v>
      </c>
      <c r="C812" s="2">
        <v>1</v>
      </c>
    </row>
    <row r="813" spans="1:3" x14ac:dyDescent="0.25">
      <c r="A813" s="4" t="s">
        <v>153</v>
      </c>
      <c r="B813" s="1" t="s">
        <v>1</v>
      </c>
      <c r="C813" s="2">
        <v>1</v>
      </c>
    </row>
    <row r="814" spans="1:3" x14ac:dyDescent="0.25">
      <c r="A814" s="4" t="s">
        <v>152</v>
      </c>
      <c r="B814" s="1" t="s">
        <v>1</v>
      </c>
      <c r="C814" s="2" t="s">
        <v>530</v>
      </c>
    </row>
    <row r="815" spans="1:3" x14ac:dyDescent="0.25">
      <c r="A815" s="4" t="s">
        <v>122</v>
      </c>
      <c r="B815" s="1" t="s">
        <v>1</v>
      </c>
      <c r="C815" s="2" t="s">
        <v>751</v>
      </c>
    </row>
    <row r="817" spans="1:3" s="7" customFormat="1" ht="15.75" x14ac:dyDescent="0.3">
      <c r="A817" s="5" t="s">
        <v>531</v>
      </c>
      <c r="B817" s="5"/>
      <c r="C817" s="6"/>
    </row>
    <row r="818" spans="1:3" x14ac:dyDescent="0.25">
      <c r="A818" s="4" t="s">
        <v>156</v>
      </c>
      <c r="B818" s="1" t="s">
        <v>1</v>
      </c>
      <c r="C818" s="2" t="s">
        <v>524</v>
      </c>
    </row>
    <row r="819" spans="1:3" x14ac:dyDescent="0.25">
      <c r="A819" s="4" t="s">
        <v>154</v>
      </c>
      <c r="B819" s="1" t="s">
        <v>1</v>
      </c>
      <c r="C819" s="2">
        <v>1</v>
      </c>
    </row>
    <row r="820" spans="1:3" x14ac:dyDescent="0.25">
      <c r="A820" s="4" t="s">
        <v>153</v>
      </c>
      <c r="B820" s="1" t="s">
        <v>1</v>
      </c>
      <c r="C820" s="2">
        <v>1</v>
      </c>
    </row>
    <row r="821" spans="1:3" x14ac:dyDescent="0.25">
      <c r="A821" s="4" t="s">
        <v>152</v>
      </c>
      <c r="B821" s="1" t="s">
        <v>1</v>
      </c>
      <c r="C821" s="2" t="s">
        <v>532</v>
      </c>
    </row>
    <row r="822" spans="1:3" x14ac:dyDescent="0.25">
      <c r="A822" s="4" t="s">
        <v>122</v>
      </c>
      <c r="B822" s="1" t="s">
        <v>1</v>
      </c>
      <c r="C822" s="2" t="s">
        <v>752</v>
      </c>
    </row>
    <row r="824" spans="1:3" s="7" customFormat="1" ht="15.75" x14ac:dyDescent="0.3">
      <c r="A824" s="5" t="s">
        <v>533</v>
      </c>
      <c r="B824" s="5"/>
      <c r="C824" s="6"/>
    </row>
    <row r="825" spans="1:3" x14ac:dyDescent="0.25">
      <c r="A825" s="4" t="s">
        <v>156</v>
      </c>
      <c r="B825" s="1" t="s">
        <v>1</v>
      </c>
      <c r="C825" s="2" t="s">
        <v>524</v>
      </c>
    </row>
    <row r="826" spans="1:3" x14ac:dyDescent="0.25">
      <c r="A826" s="4" t="s">
        <v>154</v>
      </c>
      <c r="B826" s="1" t="s">
        <v>1</v>
      </c>
      <c r="C826" s="2">
        <v>1</v>
      </c>
    </row>
    <row r="827" spans="1:3" x14ac:dyDescent="0.25">
      <c r="A827" s="4" t="s">
        <v>153</v>
      </c>
      <c r="B827" s="1" t="s">
        <v>1</v>
      </c>
      <c r="C827" s="2">
        <v>1</v>
      </c>
    </row>
    <row r="828" spans="1:3" x14ac:dyDescent="0.25">
      <c r="A828" s="4" t="s">
        <v>152</v>
      </c>
      <c r="B828" s="1" t="s">
        <v>1</v>
      </c>
      <c r="C828" s="2" t="s">
        <v>534</v>
      </c>
    </row>
    <row r="829" spans="1:3" x14ac:dyDescent="0.25">
      <c r="A829" s="4" t="s">
        <v>122</v>
      </c>
      <c r="B829" s="1" t="s">
        <v>1</v>
      </c>
      <c r="C829" s="2" t="s">
        <v>753</v>
      </c>
    </row>
    <row r="831" spans="1:3" s="7" customFormat="1" ht="15.75" x14ac:dyDescent="0.3">
      <c r="A831" s="5" t="s">
        <v>535</v>
      </c>
      <c r="B831" s="5"/>
      <c r="C831" s="6"/>
    </row>
    <row r="832" spans="1:3" x14ac:dyDescent="0.25">
      <c r="A832" s="4" t="s">
        <v>156</v>
      </c>
      <c r="B832" s="1" t="s">
        <v>1</v>
      </c>
      <c r="C832" s="2" t="s">
        <v>536</v>
      </c>
    </row>
    <row r="833" spans="1:3" x14ac:dyDescent="0.25">
      <c r="A833" s="4" t="s">
        <v>154</v>
      </c>
      <c r="B833" s="1" t="s">
        <v>1</v>
      </c>
      <c r="C833" s="2">
        <v>1</v>
      </c>
    </row>
    <row r="834" spans="1:3" x14ac:dyDescent="0.25">
      <c r="A834" s="4" t="s">
        <v>153</v>
      </c>
      <c r="B834" s="1" t="s">
        <v>1</v>
      </c>
      <c r="C834" s="2">
        <v>1</v>
      </c>
    </row>
    <row r="835" spans="1:3" x14ac:dyDescent="0.25">
      <c r="A835" s="4" t="s">
        <v>152</v>
      </c>
      <c r="B835" s="1" t="s">
        <v>1</v>
      </c>
      <c r="C835" s="2" t="s">
        <v>537</v>
      </c>
    </row>
    <row r="836" spans="1:3" x14ac:dyDescent="0.25">
      <c r="A836" s="4" t="s">
        <v>122</v>
      </c>
      <c r="B836" s="1" t="s">
        <v>1</v>
      </c>
      <c r="C836" s="2" t="s">
        <v>538</v>
      </c>
    </row>
    <row r="838" spans="1:3" s="7" customFormat="1" ht="15.75" x14ac:dyDescent="0.3">
      <c r="A838" s="5" t="s">
        <v>539</v>
      </c>
      <c r="B838" s="5"/>
      <c r="C838" s="6"/>
    </row>
    <row r="839" spans="1:3" x14ac:dyDescent="0.25">
      <c r="A839" s="4" t="s">
        <v>156</v>
      </c>
      <c r="B839" s="1" t="s">
        <v>1</v>
      </c>
      <c r="C839" s="2" t="s">
        <v>536</v>
      </c>
    </row>
    <row r="840" spans="1:3" x14ac:dyDescent="0.25">
      <c r="A840" s="4" t="s">
        <v>154</v>
      </c>
      <c r="B840" s="1" t="s">
        <v>1</v>
      </c>
      <c r="C840" s="2">
        <v>1</v>
      </c>
    </row>
    <row r="841" spans="1:3" x14ac:dyDescent="0.25">
      <c r="A841" s="4" t="s">
        <v>153</v>
      </c>
      <c r="B841" s="1" t="s">
        <v>1</v>
      </c>
      <c r="C841" s="2">
        <v>1</v>
      </c>
    </row>
    <row r="842" spans="1:3" x14ac:dyDescent="0.25">
      <c r="A842" s="4" t="s">
        <v>152</v>
      </c>
      <c r="B842" s="1" t="s">
        <v>1</v>
      </c>
      <c r="C842" s="2" t="s">
        <v>540</v>
      </c>
    </row>
    <row r="843" spans="1:3" x14ac:dyDescent="0.25">
      <c r="A843" s="4" t="s">
        <v>122</v>
      </c>
      <c r="B843" s="1" t="s">
        <v>1</v>
      </c>
      <c r="C843" s="2" t="s">
        <v>754</v>
      </c>
    </row>
    <row r="845" spans="1:3" s="7" customFormat="1" ht="15.75" x14ac:dyDescent="0.3">
      <c r="A845" s="5" t="s">
        <v>541</v>
      </c>
      <c r="B845" s="5"/>
      <c r="C845" s="6"/>
    </row>
    <row r="846" spans="1:3" x14ac:dyDescent="0.25">
      <c r="A846" s="4" t="s">
        <v>156</v>
      </c>
      <c r="B846" s="1" t="s">
        <v>1</v>
      </c>
      <c r="C846" s="2" t="s">
        <v>536</v>
      </c>
    </row>
    <row r="847" spans="1:3" x14ac:dyDescent="0.25">
      <c r="A847" s="4" t="s">
        <v>154</v>
      </c>
      <c r="B847" s="1" t="s">
        <v>1</v>
      </c>
      <c r="C847" s="2">
        <v>1</v>
      </c>
    </row>
    <row r="848" spans="1:3" x14ac:dyDescent="0.25">
      <c r="A848" s="4" t="s">
        <v>153</v>
      </c>
      <c r="B848" s="1" t="s">
        <v>1</v>
      </c>
      <c r="C848" s="2">
        <v>1</v>
      </c>
    </row>
    <row r="849" spans="1:3" x14ac:dyDescent="0.25">
      <c r="A849" s="4" t="s">
        <v>152</v>
      </c>
      <c r="B849" s="1" t="s">
        <v>1</v>
      </c>
      <c r="C849" s="2" t="s">
        <v>542</v>
      </c>
    </row>
    <row r="850" spans="1:3" x14ac:dyDescent="0.25">
      <c r="A850" s="4" t="s">
        <v>122</v>
      </c>
      <c r="B850" s="1" t="s">
        <v>1</v>
      </c>
      <c r="C850" s="2" t="s">
        <v>755</v>
      </c>
    </row>
    <row r="852" spans="1:3" s="7" customFormat="1" ht="15.75" x14ac:dyDescent="0.3">
      <c r="A852" s="5" t="s">
        <v>543</v>
      </c>
      <c r="B852" s="5"/>
      <c r="C852" s="6"/>
    </row>
    <row r="853" spans="1:3" x14ac:dyDescent="0.25">
      <c r="A853" s="4" t="s">
        <v>156</v>
      </c>
      <c r="B853" s="1" t="s">
        <v>1</v>
      </c>
      <c r="C853" s="2" t="s">
        <v>536</v>
      </c>
    </row>
    <row r="854" spans="1:3" x14ac:dyDescent="0.25">
      <c r="A854" s="4" t="s">
        <v>154</v>
      </c>
      <c r="B854" s="1" t="s">
        <v>1</v>
      </c>
      <c r="C854" s="2">
        <v>1</v>
      </c>
    </row>
    <row r="855" spans="1:3" x14ac:dyDescent="0.25">
      <c r="A855" s="4" t="s">
        <v>153</v>
      </c>
      <c r="B855" s="1" t="s">
        <v>1</v>
      </c>
      <c r="C855" s="2">
        <v>1</v>
      </c>
    </row>
    <row r="856" spans="1:3" x14ac:dyDescent="0.25">
      <c r="A856" s="4" t="s">
        <v>152</v>
      </c>
      <c r="B856" s="1" t="s">
        <v>1</v>
      </c>
      <c r="C856" s="2" t="s">
        <v>544</v>
      </c>
    </row>
    <row r="857" spans="1:3" x14ac:dyDescent="0.25">
      <c r="A857" s="4" t="s">
        <v>122</v>
      </c>
      <c r="B857" s="1" t="s">
        <v>1</v>
      </c>
      <c r="C857" s="2" t="s">
        <v>756</v>
      </c>
    </row>
    <row r="859" spans="1:3" s="7" customFormat="1" ht="15.75" x14ac:dyDescent="0.3">
      <c r="A859" s="5" t="s">
        <v>545</v>
      </c>
      <c r="B859" s="5"/>
      <c r="C859" s="6"/>
    </row>
    <row r="860" spans="1:3" x14ac:dyDescent="0.25">
      <c r="A860" s="4" t="s">
        <v>156</v>
      </c>
      <c r="B860" s="1" t="s">
        <v>1</v>
      </c>
      <c r="C860" s="2" t="s">
        <v>536</v>
      </c>
    </row>
    <row r="861" spans="1:3" x14ac:dyDescent="0.25">
      <c r="A861" s="4" t="s">
        <v>154</v>
      </c>
      <c r="B861" s="1" t="s">
        <v>1</v>
      </c>
      <c r="C861" s="2">
        <v>1</v>
      </c>
    </row>
    <row r="862" spans="1:3" x14ac:dyDescent="0.25">
      <c r="A862" s="4" t="s">
        <v>153</v>
      </c>
      <c r="B862" s="1" t="s">
        <v>1</v>
      </c>
      <c r="C862" s="2">
        <v>1</v>
      </c>
    </row>
    <row r="863" spans="1:3" x14ac:dyDescent="0.25">
      <c r="A863" s="4" t="s">
        <v>152</v>
      </c>
      <c r="B863" s="1" t="s">
        <v>1</v>
      </c>
      <c r="C863" s="2" t="s">
        <v>546</v>
      </c>
    </row>
    <row r="864" spans="1:3" x14ac:dyDescent="0.25">
      <c r="A864" s="4" t="s">
        <v>122</v>
      </c>
      <c r="B864" s="1" t="s">
        <v>1</v>
      </c>
      <c r="C864" s="2" t="s">
        <v>757</v>
      </c>
    </row>
    <row r="866" spans="1:3" s="7" customFormat="1" ht="15.75" x14ac:dyDescent="0.3">
      <c r="A866" s="5" t="s">
        <v>547</v>
      </c>
      <c r="B866" s="5"/>
      <c r="C866" s="6"/>
    </row>
    <row r="867" spans="1:3" x14ac:dyDescent="0.25">
      <c r="A867" s="4" t="s">
        <v>267</v>
      </c>
      <c r="B867" s="1" t="s">
        <v>1</v>
      </c>
      <c r="C867" s="2" t="s">
        <v>77</v>
      </c>
    </row>
    <row r="868" spans="1:3" x14ac:dyDescent="0.25">
      <c r="A868" s="4" t="s">
        <v>156</v>
      </c>
      <c r="B868" s="1" t="s">
        <v>1</v>
      </c>
      <c r="C868" s="2" t="s">
        <v>195</v>
      </c>
    </row>
    <row r="869" spans="1:3" x14ac:dyDescent="0.25">
      <c r="A869" s="4" t="s">
        <v>154</v>
      </c>
      <c r="B869" s="1" t="s">
        <v>1</v>
      </c>
      <c r="C869" s="2">
        <v>1</v>
      </c>
    </row>
    <row r="870" spans="1:3" x14ac:dyDescent="0.25">
      <c r="A870" s="4" t="s">
        <v>153</v>
      </c>
      <c r="B870" s="1" t="s">
        <v>1</v>
      </c>
      <c r="C870" s="2">
        <v>1</v>
      </c>
    </row>
    <row r="871" spans="1:3" x14ac:dyDescent="0.25">
      <c r="A871" s="4" t="s">
        <v>152</v>
      </c>
      <c r="B871" s="1" t="s">
        <v>1</v>
      </c>
      <c r="C871" s="2" t="s">
        <v>548</v>
      </c>
    </row>
    <row r="872" spans="1:3" x14ac:dyDescent="0.25">
      <c r="A872" s="4" t="s">
        <v>122</v>
      </c>
      <c r="B872" s="1" t="s">
        <v>1</v>
      </c>
      <c r="C872" s="2" t="s">
        <v>758</v>
      </c>
    </row>
    <row r="874" spans="1:3" s="7" customFormat="1" ht="15.75" x14ac:dyDescent="0.3">
      <c r="A874" s="5" t="s">
        <v>549</v>
      </c>
      <c r="B874" s="5"/>
      <c r="C874" s="6"/>
    </row>
    <row r="875" spans="1:3" x14ac:dyDescent="0.25">
      <c r="A875" s="4" t="s">
        <v>267</v>
      </c>
      <c r="B875" s="1" t="s">
        <v>1</v>
      </c>
      <c r="C875" s="2" t="s">
        <v>77</v>
      </c>
    </row>
    <row r="876" spans="1:3" x14ac:dyDescent="0.25">
      <c r="A876" s="4" t="s">
        <v>156</v>
      </c>
      <c r="B876" s="1" t="s">
        <v>1</v>
      </c>
      <c r="C876" s="2" t="s">
        <v>195</v>
      </c>
    </row>
    <row r="877" spans="1:3" x14ac:dyDescent="0.25">
      <c r="A877" s="4" t="s">
        <v>154</v>
      </c>
      <c r="B877" s="1" t="s">
        <v>1</v>
      </c>
      <c r="C877" s="2">
        <v>1</v>
      </c>
    </row>
    <row r="878" spans="1:3" x14ac:dyDescent="0.25">
      <c r="A878" s="4" t="s">
        <v>153</v>
      </c>
      <c r="B878" s="1" t="s">
        <v>1</v>
      </c>
      <c r="C878" s="2">
        <v>1</v>
      </c>
    </row>
    <row r="879" spans="1:3" x14ac:dyDescent="0.25">
      <c r="A879" s="4" t="s">
        <v>152</v>
      </c>
      <c r="B879" s="1" t="s">
        <v>1</v>
      </c>
      <c r="C879" s="2" t="s">
        <v>550</v>
      </c>
    </row>
    <row r="880" spans="1:3" x14ac:dyDescent="0.25">
      <c r="A880" s="4" t="s">
        <v>122</v>
      </c>
      <c r="B880" s="1" t="s">
        <v>1</v>
      </c>
      <c r="C880" s="2" t="s">
        <v>759</v>
      </c>
    </row>
    <row r="882" spans="1:3" s="7" customFormat="1" ht="15.75" x14ac:dyDescent="0.3">
      <c r="A882" s="5" t="s">
        <v>551</v>
      </c>
      <c r="B882" s="5"/>
      <c r="C882" s="6"/>
    </row>
    <row r="883" spans="1:3" x14ac:dyDescent="0.25">
      <c r="A883" s="4" t="s">
        <v>267</v>
      </c>
      <c r="B883" s="1" t="s">
        <v>1</v>
      </c>
      <c r="C883" s="2" t="s">
        <v>77</v>
      </c>
    </row>
    <row r="884" spans="1:3" x14ac:dyDescent="0.25">
      <c r="A884" s="4" t="s">
        <v>156</v>
      </c>
      <c r="B884" s="1" t="s">
        <v>1</v>
      </c>
      <c r="C884" s="2" t="s">
        <v>195</v>
      </c>
    </row>
    <row r="885" spans="1:3" x14ac:dyDescent="0.25">
      <c r="A885" s="4" t="s">
        <v>154</v>
      </c>
      <c r="B885" s="1" t="s">
        <v>1</v>
      </c>
      <c r="C885" s="2">
        <v>1</v>
      </c>
    </row>
    <row r="886" spans="1:3" x14ac:dyDescent="0.25">
      <c r="A886" s="4" t="s">
        <v>153</v>
      </c>
      <c r="B886" s="1" t="s">
        <v>1</v>
      </c>
      <c r="C886" s="2">
        <v>1</v>
      </c>
    </row>
    <row r="887" spans="1:3" x14ac:dyDescent="0.25">
      <c r="A887" s="4" t="s">
        <v>152</v>
      </c>
      <c r="B887" s="1" t="s">
        <v>1</v>
      </c>
      <c r="C887" s="2" t="s">
        <v>548</v>
      </c>
    </row>
    <row r="888" spans="1:3" x14ac:dyDescent="0.25">
      <c r="A888" s="4" t="s">
        <v>122</v>
      </c>
      <c r="B888" s="1" t="s">
        <v>1</v>
      </c>
      <c r="C888" s="2" t="s">
        <v>760</v>
      </c>
    </row>
    <row r="890" spans="1:3" s="7" customFormat="1" ht="15.75" x14ac:dyDescent="0.3">
      <c r="A890" s="5" t="s">
        <v>552</v>
      </c>
      <c r="B890" s="5"/>
      <c r="C890" s="6"/>
    </row>
    <row r="891" spans="1:3" x14ac:dyDescent="0.25">
      <c r="A891" s="4" t="s">
        <v>267</v>
      </c>
      <c r="B891" s="1" t="s">
        <v>1</v>
      </c>
      <c r="C891" s="2" t="s">
        <v>77</v>
      </c>
    </row>
    <row r="892" spans="1:3" x14ac:dyDescent="0.25">
      <c r="A892" s="4" t="s">
        <v>156</v>
      </c>
      <c r="B892" s="1" t="s">
        <v>1</v>
      </c>
      <c r="C892" s="2" t="s">
        <v>195</v>
      </c>
    </row>
    <row r="893" spans="1:3" x14ac:dyDescent="0.25">
      <c r="A893" s="4" t="s">
        <v>154</v>
      </c>
      <c r="B893" s="1" t="s">
        <v>1</v>
      </c>
      <c r="C893" s="2">
        <v>1</v>
      </c>
    </row>
    <row r="894" spans="1:3" x14ac:dyDescent="0.25">
      <c r="A894" s="4" t="s">
        <v>153</v>
      </c>
      <c r="B894" s="1" t="s">
        <v>1</v>
      </c>
      <c r="C894" s="2">
        <v>1</v>
      </c>
    </row>
    <row r="895" spans="1:3" x14ac:dyDescent="0.25">
      <c r="A895" s="4" t="s">
        <v>152</v>
      </c>
      <c r="B895" s="1" t="s">
        <v>1</v>
      </c>
      <c r="C895" s="2" t="s">
        <v>550</v>
      </c>
    </row>
    <row r="896" spans="1:3" x14ac:dyDescent="0.25">
      <c r="A896" s="4" t="s">
        <v>122</v>
      </c>
      <c r="B896" s="1" t="s">
        <v>1</v>
      </c>
      <c r="C896" s="2" t="s">
        <v>761</v>
      </c>
    </row>
    <row r="898" spans="1:3" s="7" customFormat="1" ht="15.75" x14ac:dyDescent="0.3">
      <c r="A898" s="5" t="s">
        <v>553</v>
      </c>
      <c r="B898" s="5"/>
      <c r="C898" s="6"/>
    </row>
    <row r="899" spans="1:3" x14ac:dyDescent="0.25">
      <c r="A899" s="4" t="s">
        <v>267</v>
      </c>
      <c r="B899" s="1" t="s">
        <v>1</v>
      </c>
      <c r="C899" s="2" t="s">
        <v>275</v>
      </c>
    </row>
    <row r="900" spans="1:3" x14ac:dyDescent="0.25">
      <c r="A900" s="4" t="s">
        <v>156</v>
      </c>
      <c r="B900" s="1" t="s">
        <v>1</v>
      </c>
      <c r="C900" s="2" t="s">
        <v>195</v>
      </c>
    </row>
    <row r="901" spans="1:3" x14ac:dyDescent="0.25">
      <c r="A901" s="4" t="s">
        <v>154</v>
      </c>
      <c r="B901" s="1" t="s">
        <v>1</v>
      </c>
      <c r="C901" s="2">
        <v>1</v>
      </c>
    </row>
    <row r="902" spans="1:3" x14ac:dyDescent="0.25">
      <c r="A902" s="4" t="s">
        <v>153</v>
      </c>
      <c r="B902" s="1" t="s">
        <v>1</v>
      </c>
      <c r="C902" s="2">
        <v>1</v>
      </c>
    </row>
    <row r="903" spans="1:3" x14ac:dyDescent="0.25">
      <c r="A903" s="4" t="s">
        <v>152</v>
      </c>
      <c r="B903" s="1" t="s">
        <v>1</v>
      </c>
      <c r="C903" s="2" t="s">
        <v>554</v>
      </c>
    </row>
    <row r="904" spans="1:3" x14ac:dyDescent="0.25">
      <c r="A904" s="4" t="s">
        <v>122</v>
      </c>
      <c r="B904" s="1" t="s">
        <v>1</v>
      </c>
      <c r="C904" s="2" t="s">
        <v>758</v>
      </c>
    </row>
    <row r="906" spans="1:3" s="7" customFormat="1" ht="15.75" x14ac:dyDescent="0.3">
      <c r="A906" s="5" t="s">
        <v>555</v>
      </c>
      <c r="B906" s="5"/>
      <c r="C906" s="6"/>
    </row>
    <row r="907" spans="1:3" x14ac:dyDescent="0.25">
      <c r="A907" s="4" t="s">
        <v>267</v>
      </c>
      <c r="B907" s="1" t="s">
        <v>1</v>
      </c>
      <c r="C907" s="2" t="s">
        <v>275</v>
      </c>
    </row>
    <row r="908" spans="1:3" x14ac:dyDescent="0.25">
      <c r="A908" s="4" t="s">
        <v>156</v>
      </c>
      <c r="B908" s="1" t="s">
        <v>1</v>
      </c>
      <c r="C908" s="2" t="s">
        <v>195</v>
      </c>
    </row>
    <row r="909" spans="1:3" x14ac:dyDescent="0.25">
      <c r="A909" s="4" t="s">
        <v>154</v>
      </c>
      <c r="B909" s="1" t="s">
        <v>1</v>
      </c>
      <c r="C909" s="2">
        <v>1</v>
      </c>
    </row>
    <row r="910" spans="1:3" x14ac:dyDescent="0.25">
      <c r="A910" s="4" t="s">
        <v>153</v>
      </c>
      <c r="B910" s="1" t="s">
        <v>1</v>
      </c>
      <c r="C910" s="2">
        <v>1</v>
      </c>
    </row>
    <row r="911" spans="1:3" x14ac:dyDescent="0.25">
      <c r="A911" s="4" t="s">
        <v>152</v>
      </c>
      <c r="B911" s="1" t="s">
        <v>1</v>
      </c>
      <c r="C911" s="2" t="s">
        <v>556</v>
      </c>
    </row>
    <row r="912" spans="1:3" x14ac:dyDescent="0.25">
      <c r="A912" s="4" t="s">
        <v>122</v>
      </c>
      <c r="B912" s="1" t="s">
        <v>1</v>
      </c>
      <c r="C912" s="2" t="s">
        <v>759</v>
      </c>
    </row>
    <row r="914" spans="1:3" s="7" customFormat="1" ht="15.75" x14ac:dyDescent="0.3">
      <c r="A914" s="5" t="s">
        <v>557</v>
      </c>
      <c r="B914" s="5"/>
      <c r="C914" s="6"/>
    </row>
    <row r="915" spans="1:3" x14ac:dyDescent="0.25">
      <c r="A915" s="4" t="s">
        <v>267</v>
      </c>
      <c r="B915" s="1" t="s">
        <v>1</v>
      </c>
      <c r="C915" s="2" t="s">
        <v>275</v>
      </c>
    </row>
    <row r="916" spans="1:3" x14ac:dyDescent="0.25">
      <c r="A916" s="4" t="s">
        <v>156</v>
      </c>
      <c r="B916" s="1" t="s">
        <v>1</v>
      </c>
      <c r="C916" s="2" t="s">
        <v>195</v>
      </c>
    </row>
    <row r="917" spans="1:3" x14ac:dyDescent="0.25">
      <c r="A917" s="4" t="s">
        <v>154</v>
      </c>
      <c r="B917" s="1" t="s">
        <v>1</v>
      </c>
      <c r="C917" s="2">
        <v>1</v>
      </c>
    </row>
    <row r="918" spans="1:3" x14ac:dyDescent="0.25">
      <c r="A918" s="4" t="s">
        <v>153</v>
      </c>
      <c r="B918" s="1" t="s">
        <v>1</v>
      </c>
      <c r="C918" s="2">
        <v>1</v>
      </c>
    </row>
    <row r="919" spans="1:3" x14ac:dyDescent="0.25">
      <c r="A919" s="4" t="s">
        <v>152</v>
      </c>
      <c r="B919" s="1" t="s">
        <v>1</v>
      </c>
      <c r="C919" s="2" t="s">
        <v>554</v>
      </c>
    </row>
    <row r="920" spans="1:3" x14ac:dyDescent="0.25">
      <c r="A920" s="4" t="s">
        <v>122</v>
      </c>
      <c r="B920" s="1" t="s">
        <v>1</v>
      </c>
      <c r="C920" s="2" t="s">
        <v>760</v>
      </c>
    </row>
    <row r="922" spans="1:3" s="7" customFormat="1" ht="15.75" x14ac:dyDescent="0.3">
      <c r="A922" s="5" t="s">
        <v>558</v>
      </c>
      <c r="B922" s="5"/>
      <c r="C922" s="6"/>
    </row>
    <row r="923" spans="1:3" x14ac:dyDescent="0.25">
      <c r="A923" s="4" t="s">
        <v>267</v>
      </c>
      <c r="B923" s="1" t="s">
        <v>1</v>
      </c>
      <c r="C923" s="2" t="s">
        <v>275</v>
      </c>
    </row>
    <row r="924" spans="1:3" x14ac:dyDescent="0.25">
      <c r="A924" s="4" t="s">
        <v>156</v>
      </c>
      <c r="B924" s="1" t="s">
        <v>1</v>
      </c>
      <c r="C924" s="2" t="s">
        <v>195</v>
      </c>
    </row>
    <row r="925" spans="1:3" x14ac:dyDescent="0.25">
      <c r="A925" s="4" t="s">
        <v>154</v>
      </c>
      <c r="B925" s="1" t="s">
        <v>1</v>
      </c>
      <c r="C925" s="2">
        <v>1</v>
      </c>
    </row>
    <row r="926" spans="1:3" x14ac:dyDescent="0.25">
      <c r="A926" s="4" t="s">
        <v>153</v>
      </c>
      <c r="B926" s="1" t="s">
        <v>1</v>
      </c>
      <c r="C926" s="2">
        <v>1</v>
      </c>
    </row>
    <row r="927" spans="1:3" x14ac:dyDescent="0.25">
      <c r="A927" s="4" t="s">
        <v>152</v>
      </c>
      <c r="B927" s="1" t="s">
        <v>1</v>
      </c>
      <c r="C927" s="2" t="s">
        <v>556</v>
      </c>
    </row>
    <row r="928" spans="1:3" x14ac:dyDescent="0.25">
      <c r="A928" s="4" t="s">
        <v>122</v>
      </c>
      <c r="B928" s="1" t="s">
        <v>1</v>
      </c>
      <c r="C928" s="2" t="s">
        <v>761</v>
      </c>
    </row>
    <row r="930" spans="1:3" s="7" customFormat="1" ht="15.75" x14ac:dyDescent="0.3">
      <c r="A930" s="5" t="s">
        <v>559</v>
      </c>
      <c r="B930" s="5"/>
      <c r="C930" s="6"/>
    </row>
    <row r="931" spans="1:3" x14ac:dyDescent="0.25">
      <c r="A931" s="4" t="s">
        <v>156</v>
      </c>
      <c r="B931" s="1" t="s">
        <v>1</v>
      </c>
      <c r="C931" s="2" t="s">
        <v>195</v>
      </c>
    </row>
    <row r="932" spans="1:3" x14ac:dyDescent="0.25">
      <c r="A932" s="4" t="s">
        <v>154</v>
      </c>
      <c r="B932" s="1" t="s">
        <v>1</v>
      </c>
      <c r="C932" s="2">
        <v>1</v>
      </c>
    </row>
    <row r="933" spans="1:3" x14ac:dyDescent="0.25">
      <c r="A933" s="4" t="s">
        <v>153</v>
      </c>
      <c r="B933" s="1" t="s">
        <v>1</v>
      </c>
      <c r="C933" s="2">
        <v>1</v>
      </c>
    </row>
    <row r="934" spans="1:3" x14ac:dyDescent="0.25">
      <c r="A934" s="4" t="s">
        <v>152</v>
      </c>
      <c r="B934" s="1" t="s">
        <v>1</v>
      </c>
      <c r="C934" s="2" t="s">
        <v>560</v>
      </c>
    </row>
    <row r="935" spans="1:3" x14ac:dyDescent="0.25">
      <c r="A935" s="4" t="s">
        <v>122</v>
      </c>
      <c r="B935" s="1" t="s">
        <v>1</v>
      </c>
      <c r="C935" s="2" t="s">
        <v>561</v>
      </c>
    </row>
    <row r="937" spans="1:3" s="7" customFormat="1" ht="15.75" x14ac:dyDescent="0.3">
      <c r="A937" s="5" t="s">
        <v>562</v>
      </c>
      <c r="B937" s="5"/>
      <c r="C937" s="6"/>
    </row>
    <row r="938" spans="1:3" x14ac:dyDescent="0.25">
      <c r="A938" s="4" t="s">
        <v>156</v>
      </c>
      <c r="B938" s="1" t="s">
        <v>1</v>
      </c>
      <c r="C938" s="2" t="s">
        <v>195</v>
      </c>
    </row>
    <row r="939" spans="1:3" x14ac:dyDescent="0.25">
      <c r="A939" s="4" t="s">
        <v>154</v>
      </c>
      <c r="B939" s="1" t="s">
        <v>1</v>
      </c>
      <c r="C939" s="2">
        <v>1</v>
      </c>
    </row>
    <row r="940" spans="1:3" x14ac:dyDescent="0.25">
      <c r="A940" s="4" t="s">
        <v>153</v>
      </c>
      <c r="B940" s="1" t="s">
        <v>1</v>
      </c>
      <c r="C940" s="2">
        <v>1</v>
      </c>
    </row>
    <row r="941" spans="1:3" x14ac:dyDescent="0.25">
      <c r="A941" s="4" t="s">
        <v>152</v>
      </c>
      <c r="B941" s="1" t="s">
        <v>1</v>
      </c>
      <c r="C941" s="2" t="s">
        <v>563</v>
      </c>
    </row>
    <row r="942" spans="1:3" x14ac:dyDescent="0.25">
      <c r="A942" s="4" t="s">
        <v>122</v>
      </c>
      <c r="B942" s="1" t="s">
        <v>1</v>
      </c>
      <c r="C942" s="2" t="s">
        <v>564</v>
      </c>
    </row>
    <row r="944" spans="1:3" s="7" customFormat="1" ht="15.75" x14ac:dyDescent="0.3">
      <c r="A944" s="5" t="s">
        <v>565</v>
      </c>
      <c r="B944" s="5"/>
      <c r="C944" s="6"/>
    </row>
    <row r="945" spans="1:3" x14ac:dyDescent="0.25">
      <c r="A945" s="4" t="s">
        <v>156</v>
      </c>
      <c r="B945" s="1" t="s">
        <v>1</v>
      </c>
      <c r="C945" s="2" t="s">
        <v>566</v>
      </c>
    </row>
    <row r="946" spans="1:3" x14ac:dyDescent="0.25">
      <c r="A946" s="4" t="s">
        <v>154</v>
      </c>
      <c r="B946" s="1" t="s">
        <v>1</v>
      </c>
      <c r="C946" s="2">
        <v>2</v>
      </c>
    </row>
    <row r="947" spans="1:3" x14ac:dyDescent="0.25">
      <c r="A947" s="4" t="s">
        <v>153</v>
      </c>
      <c r="B947" s="1" t="s">
        <v>1</v>
      </c>
      <c r="C947" s="2">
        <v>2</v>
      </c>
    </row>
    <row r="948" spans="1:3" x14ac:dyDescent="0.25">
      <c r="A948" s="4" t="s">
        <v>152</v>
      </c>
      <c r="B948" s="1" t="s">
        <v>1</v>
      </c>
      <c r="C948" s="2" t="s">
        <v>924</v>
      </c>
    </row>
    <row r="949" spans="1:3" x14ac:dyDescent="0.25">
      <c r="A949" s="4" t="s">
        <v>151</v>
      </c>
      <c r="B949" s="1" t="s">
        <v>1</v>
      </c>
      <c r="C949" s="2" t="s">
        <v>923</v>
      </c>
    </row>
    <row r="950" spans="1:3" x14ac:dyDescent="0.25">
      <c r="A950" s="4" t="s">
        <v>122</v>
      </c>
      <c r="B950" s="1" t="s">
        <v>1</v>
      </c>
      <c r="C950" s="2" t="s">
        <v>861</v>
      </c>
    </row>
    <row r="951" spans="1:3" x14ac:dyDescent="0.25">
      <c r="A951" s="4" t="s">
        <v>121</v>
      </c>
      <c r="B951" s="1" t="s">
        <v>1</v>
      </c>
      <c r="C951" s="2" t="s">
        <v>567</v>
      </c>
    </row>
    <row r="953" spans="1:3" s="7" customFormat="1" ht="15.75" x14ac:dyDescent="0.3">
      <c r="A953" s="5" t="s">
        <v>568</v>
      </c>
      <c r="B953" s="5"/>
      <c r="C953" s="6"/>
    </row>
    <row r="954" spans="1:3" x14ac:dyDescent="0.25">
      <c r="A954" s="4" t="s">
        <v>156</v>
      </c>
      <c r="B954" s="1" t="s">
        <v>1</v>
      </c>
      <c r="C954" s="2" t="s">
        <v>566</v>
      </c>
    </row>
    <row r="955" spans="1:3" x14ac:dyDescent="0.25">
      <c r="A955" s="4" t="s">
        <v>154</v>
      </c>
      <c r="B955" s="1" t="s">
        <v>1</v>
      </c>
      <c r="C955" s="2">
        <v>2</v>
      </c>
    </row>
    <row r="956" spans="1:3" x14ac:dyDescent="0.25">
      <c r="A956" s="4" t="s">
        <v>153</v>
      </c>
      <c r="B956" s="1" t="s">
        <v>1</v>
      </c>
      <c r="C956" s="2">
        <v>2</v>
      </c>
    </row>
    <row r="957" spans="1:3" x14ac:dyDescent="0.25">
      <c r="A957" s="4" t="s">
        <v>152</v>
      </c>
      <c r="B957" s="1" t="s">
        <v>1</v>
      </c>
      <c r="C957" s="2" t="s">
        <v>893</v>
      </c>
    </row>
    <row r="958" spans="1:3" x14ac:dyDescent="0.25">
      <c r="A958" s="4" t="s">
        <v>151</v>
      </c>
      <c r="B958" s="1" t="s">
        <v>1</v>
      </c>
      <c r="C958" s="2" t="s">
        <v>894</v>
      </c>
    </row>
    <row r="959" spans="1:3" x14ac:dyDescent="0.25">
      <c r="A959" s="4" t="s">
        <v>122</v>
      </c>
      <c r="B959" s="1" t="s">
        <v>1</v>
      </c>
      <c r="C959" s="2" t="s">
        <v>862</v>
      </c>
    </row>
    <row r="960" spans="1:3" x14ac:dyDescent="0.25">
      <c r="A960" s="4" t="s">
        <v>121</v>
      </c>
      <c r="B960" s="1" t="s">
        <v>1</v>
      </c>
      <c r="C960" s="2" t="s">
        <v>569</v>
      </c>
    </row>
    <row r="962" spans="1:3" s="7" customFormat="1" ht="15.75" x14ac:dyDescent="0.3">
      <c r="A962" s="5" t="s">
        <v>570</v>
      </c>
      <c r="B962" s="5"/>
      <c r="C962" s="6"/>
    </row>
    <row r="963" spans="1:3" x14ac:dyDescent="0.25">
      <c r="A963" s="4" t="s">
        <v>156</v>
      </c>
      <c r="B963" s="1" t="s">
        <v>1</v>
      </c>
      <c r="C963" s="2" t="s">
        <v>571</v>
      </c>
    </row>
    <row r="964" spans="1:3" x14ac:dyDescent="0.25">
      <c r="A964" s="4" t="s">
        <v>154</v>
      </c>
      <c r="B964" s="1" t="s">
        <v>1</v>
      </c>
      <c r="C964" s="2">
        <v>2</v>
      </c>
    </row>
    <row r="965" spans="1:3" x14ac:dyDescent="0.25">
      <c r="A965" s="4" t="s">
        <v>153</v>
      </c>
      <c r="B965" s="1" t="s">
        <v>1</v>
      </c>
      <c r="C965" s="2">
        <v>2</v>
      </c>
    </row>
    <row r="966" spans="1:3" x14ac:dyDescent="0.25">
      <c r="A966" s="4" t="s">
        <v>152</v>
      </c>
      <c r="B966" s="1" t="s">
        <v>1</v>
      </c>
      <c r="C966" s="2" t="s">
        <v>925</v>
      </c>
    </row>
    <row r="967" spans="1:3" x14ac:dyDescent="0.25">
      <c r="A967" s="4" t="s">
        <v>151</v>
      </c>
      <c r="B967" s="1" t="s">
        <v>1</v>
      </c>
      <c r="C967" s="2" t="s">
        <v>926</v>
      </c>
    </row>
    <row r="968" spans="1:3" x14ac:dyDescent="0.25">
      <c r="A968" s="4" t="s">
        <v>122</v>
      </c>
      <c r="B968" s="1" t="s">
        <v>1</v>
      </c>
      <c r="C968" s="2" t="s">
        <v>892</v>
      </c>
    </row>
    <row r="969" spans="1:3" x14ac:dyDescent="0.25">
      <c r="A969" s="4" t="s">
        <v>121</v>
      </c>
      <c r="B969" s="1" t="s">
        <v>1</v>
      </c>
      <c r="C969" s="2" t="s">
        <v>572</v>
      </c>
    </row>
    <row r="971" spans="1:3" s="7" customFormat="1" ht="15.75" x14ac:dyDescent="0.3">
      <c r="A971" s="5" t="s">
        <v>573</v>
      </c>
      <c r="B971" s="5"/>
      <c r="C971" s="6"/>
    </row>
    <row r="972" spans="1:3" x14ac:dyDescent="0.25">
      <c r="A972" s="4" t="s">
        <v>156</v>
      </c>
      <c r="B972" s="1" t="s">
        <v>1</v>
      </c>
      <c r="C972" s="2" t="s">
        <v>195</v>
      </c>
    </row>
    <row r="973" spans="1:3" x14ac:dyDescent="0.25">
      <c r="A973" s="4" t="s">
        <v>154</v>
      </c>
      <c r="B973" s="1" t="s">
        <v>1</v>
      </c>
      <c r="C973" s="2">
        <v>1</v>
      </c>
    </row>
    <row r="974" spans="1:3" x14ac:dyDescent="0.25">
      <c r="A974" s="4" t="s">
        <v>153</v>
      </c>
      <c r="B974" s="1" t="s">
        <v>1</v>
      </c>
      <c r="C974" s="2">
        <v>1</v>
      </c>
    </row>
    <row r="975" spans="1:3" x14ac:dyDescent="0.25">
      <c r="A975" s="4" t="s">
        <v>152</v>
      </c>
      <c r="B975" s="1" t="s">
        <v>1</v>
      </c>
      <c r="C975" s="2" t="s">
        <v>574</v>
      </c>
    </row>
    <row r="976" spans="1:3" x14ac:dyDescent="0.25">
      <c r="A976" s="4" t="s">
        <v>122</v>
      </c>
      <c r="B976" s="1" t="s">
        <v>1</v>
      </c>
      <c r="C976" s="2" t="s">
        <v>575</v>
      </c>
    </row>
    <row r="978" spans="1:3" s="7" customFormat="1" ht="15.75" x14ac:dyDescent="0.3">
      <c r="A978" s="5" t="s">
        <v>576</v>
      </c>
      <c r="B978" s="5"/>
      <c r="C978" s="6"/>
    </row>
    <row r="979" spans="1:3" x14ac:dyDescent="0.25">
      <c r="A979" s="4" t="s">
        <v>156</v>
      </c>
      <c r="B979" s="1" t="s">
        <v>1</v>
      </c>
      <c r="C979" s="2" t="s">
        <v>577</v>
      </c>
    </row>
    <row r="980" spans="1:3" x14ac:dyDescent="0.25">
      <c r="A980" s="4" t="s">
        <v>154</v>
      </c>
      <c r="B980" s="1" t="s">
        <v>1</v>
      </c>
      <c r="C980" s="2">
        <v>1</v>
      </c>
    </row>
    <row r="981" spans="1:3" x14ac:dyDescent="0.25">
      <c r="A981" s="4" t="s">
        <v>153</v>
      </c>
      <c r="B981" s="1" t="s">
        <v>1</v>
      </c>
      <c r="C981" s="2">
        <v>1</v>
      </c>
    </row>
    <row r="982" spans="1:3" x14ac:dyDescent="0.25">
      <c r="A982" s="4" t="s">
        <v>152</v>
      </c>
      <c r="B982" s="1" t="s">
        <v>1</v>
      </c>
      <c r="C982" s="2" t="s">
        <v>574</v>
      </c>
    </row>
    <row r="983" spans="1:3" x14ac:dyDescent="0.25">
      <c r="A983" s="4" t="s">
        <v>122</v>
      </c>
      <c r="B983" s="1" t="s">
        <v>1</v>
      </c>
      <c r="C983" s="2" t="s">
        <v>578</v>
      </c>
    </row>
    <row r="985" spans="1:3" s="7" customFormat="1" ht="15.75" x14ac:dyDescent="0.3">
      <c r="A985" s="5" t="s">
        <v>579</v>
      </c>
      <c r="B985" s="5"/>
      <c r="C985" s="6"/>
    </row>
    <row r="986" spans="1:3" x14ac:dyDescent="0.25">
      <c r="A986" s="4" t="s">
        <v>156</v>
      </c>
      <c r="B986" s="1" t="s">
        <v>1</v>
      </c>
      <c r="C986" s="2" t="s">
        <v>195</v>
      </c>
    </row>
    <row r="987" spans="1:3" x14ac:dyDescent="0.25">
      <c r="A987" s="4" t="s">
        <v>154</v>
      </c>
      <c r="B987" s="1" t="s">
        <v>1</v>
      </c>
      <c r="C987" s="2">
        <v>3</v>
      </c>
    </row>
    <row r="988" spans="1:3" x14ac:dyDescent="0.25">
      <c r="A988" s="4" t="s">
        <v>153</v>
      </c>
      <c r="B988" s="1" t="s">
        <v>1</v>
      </c>
      <c r="C988" s="2">
        <v>3</v>
      </c>
    </row>
    <row r="989" spans="1:3" x14ac:dyDescent="0.25">
      <c r="A989" s="4" t="s">
        <v>152</v>
      </c>
      <c r="B989" s="1" t="s">
        <v>1</v>
      </c>
      <c r="C989" s="2" t="s">
        <v>927</v>
      </c>
    </row>
    <row r="990" spans="1:3" x14ac:dyDescent="0.25">
      <c r="A990" s="4" t="s">
        <v>151</v>
      </c>
      <c r="B990" s="1" t="s">
        <v>1</v>
      </c>
      <c r="C990" s="2" t="s">
        <v>928</v>
      </c>
    </row>
    <row r="991" spans="1:3" x14ac:dyDescent="0.25">
      <c r="A991" s="4" t="s">
        <v>150</v>
      </c>
      <c r="B991" s="1" t="s">
        <v>1</v>
      </c>
      <c r="C991" s="2" t="s">
        <v>929</v>
      </c>
    </row>
    <row r="992" spans="1:3" x14ac:dyDescent="0.25">
      <c r="A992" s="4" t="s">
        <v>122</v>
      </c>
      <c r="B992" s="1" t="s">
        <v>1</v>
      </c>
      <c r="C992" s="2" t="s">
        <v>942</v>
      </c>
    </row>
    <row r="993" spans="1:3" x14ac:dyDescent="0.25">
      <c r="A993" s="4" t="s">
        <v>121</v>
      </c>
      <c r="B993" s="1" t="s">
        <v>1</v>
      </c>
      <c r="C993" s="2" t="s">
        <v>943</v>
      </c>
    </row>
    <row r="994" spans="1:3" x14ac:dyDescent="0.25">
      <c r="A994" s="4" t="s">
        <v>120</v>
      </c>
      <c r="B994" s="1" t="s">
        <v>1</v>
      </c>
      <c r="C994" s="2" t="s">
        <v>944</v>
      </c>
    </row>
    <row r="996" spans="1:3" s="7" customFormat="1" ht="15.75" x14ac:dyDescent="0.3">
      <c r="A996" s="5" t="s">
        <v>580</v>
      </c>
      <c r="B996" s="5"/>
      <c r="C996" s="6"/>
    </row>
    <row r="997" spans="1:3" x14ac:dyDescent="0.25">
      <c r="A997" s="4" t="s">
        <v>156</v>
      </c>
      <c r="B997" s="1" t="s">
        <v>1</v>
      </c>
      <c r="C997" s="2" t="s">
        <v>195</v>
      </c>
    </row>
    <row r="998" spans="1:3" x14ac:dyDescent="0.25">
      <c r="A998" s="4" t="s">
        <v>154</v>
      </c>
      <c r="B998" s="1" t="s">
        <v>1</v>
      </c>
      <c r="C998" s="2">
        <v>3</v>
      </c>
    </row>
    <row r="999" spans="1:3" x14ac:dyDescent="0.25">
      <c r="A999" s="4" t="s">
        <v>153</v>
      </c>
      <c r="B999" s="1" t="s">
        <v>1</v>
      </c>
      <c r="C999" s="2">
        <v>3</v>
      </c>
    </row>
    <row r="1000" spans="1:3" x14ac:dyDescent="0.25">
      <c r="A1000" s="4" t="s">
        <v>152</v>
      </c>
      <c r="B1000" s="1" t="s">
        <v>1</v>
      </c>
      <c r="C1000" s="2" t="s">
        <v>930</v>
      </c>
    </row>
    <row r="1001" spans="1:3" x14ac:dyDescent="0.25">
      <c r="A1001" s="4" t="s">
        <v>151</v>
      </c>
      <c r="B1001" s="1" t="s">
        <v>1</v>
      </c>
      <c r="C1001" s="2" t="s">
        <v>931</v>
      </c>
    </row>
    <row r="1002" spans="1:3" x14ac:dyDescent="0.25">
      <c r="A1002" s="4" t="s">
        <v>150</v>
      </c>
      <c r="B1002" s="1" t="s">
        <v>1</v>
      </c>
      <c r="C1002" s="2" t="s">
        <v>932</v>
      </c>
    </row>
    <row r="1003" spans="1:3" x14ac:dyDescent="0.25">
      <c r="A1003" s="4" t="s">
        <v>122</v>
      </c>
      <c r="B1003" s="1" t="s">
        <v>1</v>
      </c>
      <c r="C1003" s="2" t="s">
        <v>939</v>
      </c>
    </row>
    <row r="1004" spans="1:3" x14ac:dyDescent="0.25">
      <c r="A1004" s="4" t="s">
        <v>121</v>
      </c>
      <c r="B1004" s="1" t="s">
        <v>1</v>
      </c>
      <c r="C1004" s="2" t="s">
        <v>940</v>
      </c>
    </row>
    <row r="1005" spans="1:3" x14ac:dyDescent="0.25">
      <c r="A1005" s="4" t="s">
        <v>120</v>
      </c>
      <c r="B1005" s="1" t="s">
        <v>1</v>
      </c>
      <c r="C1005" s="2" t="s">
        <v>941</v>
      </c>
    </row>
    <row r="1007" spans="1:3" s="7" customFormat="1" ht="15.75" x14ac:dyDescent="0.3">
      <c r="A1007" s="5" t="s">
        <v>581</v>
      </c>
      <c r="B1007" s="5"/>
      <c r="C1007" s="6"/>
    </row>
    <row r="1008" spans="1:3" x14ac:dyDescent="0.25">
      <c r="A1008" s="4" t="s">
        <v>156</v>
      </c>
      <c r="B1008" s="1" t="s">
        <v>1</v>
      </c>
      <c r="C1008" s="2" t="s">
        <v>195</v>
      </c>
    </row>
    <row r="1009" spans="1:3" x14ac:dyDescent="0.25">
      <c r="A1009" s="4" t="s">
        <v>154</v>
      </c>
      <c r="B1009" s="1" t="s">
        <v>1</v>
      </c>
      <c r="C1009" s="2">
        <v>3</v>
      </c>
    </row>
    <row r="1010" spans="1:3" x14ac:dyDescent="0.25">
      <c r="A1010" s="4" t="s">
        <v>153</v>
      </c>
      <c r="B1010" s="1" t="s">
        <v>1</v>
      </c>
      <c r="C1010" s="2">
        <v>3</v>
      </c>
    </row>
    <row r="1011" spans="1:3" x14ac:dyDescent="0.25">
      <c r="A1011" s="4" t="s">
        <v>152</v>
      </c>
      <c r="B1011" s="1" t="s">
        <v>1</v>
      </c>
      <c r="C1011" s="2" t="s">
        <v>936</v>
      </c>
    </row>
    <row r="1012" spans="1:3" x14ac:dyDescent="0.25">
      <c r="A1012" s="4" t="s">
        <v>151</v>
      </c>
      <c r="B1012" s="1" t="s">
        <v>1</v>
      </c>
      <c r="C1012" s="2" t="s">
        <v>937</v>
      </c>
    </row>
    <row r="1013" spans="1:3" x14ac:dyDescent="0.25">
      <c r="A1013" s="4" t="s">
        <v>150</v>
      </c>
      <c r="B1013" s="1" t="s">
        <v>1</v>
      </c>
      <c r="C1013" s="2" t="s">
        <v>938</v>
      </c>
    </row>
    <row r="1014" spans="1:3" x14ac:dyDescent="0.25">
      <c r="A1014" s="4" t="s">
        <v>122</v>
      </c>
      <c r="B1014" s="1" t="s">
        <v>1</v>
      </c>
      <c r="C1014" s="2" t="s">
        <v>582</v>
      </c>
    </row>
    <row r="1015" spans="1:3" x14ac:dyDescent="0.25">
      <c r="A1015" s="4" t="s">
        <v>121</v>
      </c>
      <c r="B1015" s="1" t="s">
        <v>1</v>
      </c>
      <c r="C1015" s="2" t="s">
        <v>583</v>
      </c>
    </row>
    <row r="1016" spans="1:3" x14ac:dyDescent="0.25">
      <c r="A1016" s="4" t="s">
        <v>120</v>
      </c>
      <c r="B1016" s="1" t="s">
        <v>1</v>
      </c>
      <c r="C1016" s="2" t="s">
        <v>584</v>
      </c>
    </row>
    <row r="1018" spans="1:3" s="7" customFormat="1" ht="15.75" x14ac:dyDescent="0.3">
      <c r="A1018" s="5" t="s">
        <v>585</v>
      </c>
      <c r="B1018" s="5"/>
      <c r="C1018" s="6"/>
    </row>
    <row r="1019" spans="1:3" x14ac:dyDescent="0.25">
      <c r="A1019" s="4" t="s">
        <v>156</v>
      </c>
      <c r="B1019" s="1" t="s">
        <v>1</v>
      </c>
      <c r="C1019" s="2" t="s">
        <v>195</v>
      </c>
    </row>
    <row r="1020" spans="1:3" x14ac:dyDescent="0.25">
      <c r="A1020" s="4" t="s">
        <v>154</v>
      </c>
      <c r="B1020" s="1" t="s">
        <v>1</v>
      </c>
      <c r="C1020" s="2">
        <v>3</v>
      </c>
    </row>
    <row r="1021" spans="1:3" x14ac:dyDescent="0.25">
      <c r="A1021" s="4" t="s">
        <v>153</v>
      </c>
      <c r="B1021" s="1" t="s">
        <v>1</v>
      </c>
      <c r="C1021" s="2">
        <v>3</v>
      </c>
    </row>
    <row r="1022" spans="1:3" x14ac:dyDescent="0.25">
      <c r="A1022" s="4" t="s">
        <v>152</v>
      </c>
      <c r="B1022" s="1" t="s">
        <v>1</v>
      </c>
      <c r="C1022" s="2" t="s">
        <v>933</v>
      </c>
    </row>
    <row r="1023" spans="1:3" x14ac:dyDescent="0.25">
      <c r="A1023" s="4" t="s">
        <v>151</v>
      </c>
      <c r="B1023" s="1" t="s">
        <v>1</v>
      </c>
      <c r="C1023" s="2" t="s">
        <v>934</v>
      </c>
    </row>
    <row r="1024" spans="1:3" x14ac:dyDescent="0.25">
      <c r="A1024" s="4" t="s">
        <v>150</v>
      </c>
      <c r="B1024" s="1" t="s">
        <v>1</v>
      </c>
      <c r="C1024" s="2" t="s">
        <v>935</v>
      </c>
    </row>
    <row r="1025" spans="1:3" x14ac:dyDescent="0.25">
      <c r="A1025" s="4" t="s">
        <v>122</v>
      </c>
      <c r="B1025" s="1" t="s">
        <v>1</v>
      </c>
      <c r="C1025" s="2" t="s">
        <v>586</v>
      </c>
    </row>
    <row r="1026" spans="1:3" x14ac:dyDescent="0.25">
      <c r="A1026" s="4" t="s">
        <v>121</v>
      </c>
      <c r="B1026" s="1" t="s">
        <v>1</v>
      </c>
      <c r="C1026" s="2" t="s">
        <v>587</v>
      </c>
    </row>
    <row r="1027" spans="1:3" x14ac:dyDescent="0.25">
      <c r="A1027" s="4" t="s">
        <v>120</v>
      </c>
      <c r="B1027" s="1" t="s">
        <v>1</v>
      </c>
      <c r="C1027" s="2" t="s">
        <v>588</v>
      </c>
    </row>
    <row r="1029" spans="1:3" s="7" customFormat="1" ht="15.75" x14ac:dyDescent="0.3">
      <c r="A1029" s="5" t="s">
        <v>589</v>
      </c>
      <c r="B1029" s="5"/>
      <c r="C1029" s="6"/>
    </row>
    <row r="1030" spans="1:3" x14ac:dyDescent="0.25">
      <c r="A1030" s="4" t="s">
        <v>156</v>
      </c>
      <c r="B1030" s="1" t="s">
        <v>1</v>
      </c>
      <c r="C1030" s="2" t="s">
        <v>195</v>
      </c>
    </row>
    <row r="1031" spans="1:3" x14ac:dyDescent="0.25">
      <c r="A1031" s="4" t="s">
        <v>154</v>
      </c>
      <c r="B1031" s="1" t="s">
        <v>1</v>
      </c>
      <c r="C1031" s="2">
        <v>1</v>
      </c>
    </row>
    <row r="1032" spans="1:3" x14ac:dyDescent="0.25">
      <c r="A1032" s="4" t="s">
        <v>153</v>
      </c>
      <c r="B1032" s="1" t="s">
        <v>1</v>
      </c>
      <c r="C1032" s="2">
        <v>1</v>
      </c>
    </row>
    <row r="1033" spans="1:3" x14ac:dyDescent="0.25">
      <c r="A1033" s="4" t="s">
        <v>152</v>
      </c>
      <c r="B1033" s="1" t="s">
        <v>1</v>
      </c>
      <c r="C1033" s="2" t="s">
        <v>590</v>
      </c>
    </row>
    <row r="1034" spans="1:3" x14ac:dyDescent="0.25">
      <c r="A1034" s="4" t="s">
        <v>122</v>
      </c>
      <c r="B1034" s="1" t="s">
        <v>1</v>
      </c>
      <c r="C1034" s="2" t="s">
        <v>591</v>
      </c>
    </row>
    <row r="1036" spans="1:3" s="7" customFormat="1" ht="15.75" x14ac:dyDescent="0.3">
      <c r="A1036" s="5" t="s">
        <v>592</v>
      </c>
      <c r="B1036" s="5"/>
      <c r="C1036" s="6"/>
    </row>
    <row r="1037" spans="1:3" x14ac:dyDescent="0.25">
      <c r="A1037" s="4" t="s">
        <v>156</v>
      </c>
      <c r="B1037" s="1" t="s">
        <v>1</v>
      </c>
      <c r="C1037" s="2" t="s">
        <v>195</v>
      </c>
    </row>
    <row r="1038" spans="1:3" x14ac:dyDescent="0.25">
      <c r="A1038" s="4" t="s">
        <v>154</v>
      </c>
      <c r="B1038" s="1" t="s">
        <v>1</v>
      </c>
      <c r="C1038" s="2">
        <v>1</v>
      </c>
    </row>
    <row r="1039" spans="1:3" x14ac:dyDescent="0.25">
      <c r="A1039" s="4" t="s">
        <v>153</v>
      </c>
      <c r="B1039" s="1" t="s">
        <v>1</v>
      </c>
      <c r="C1039" s="2">
        <v>1</v>
      </c>
    </row>
    <row r="1040" spans="1:3" x14ac:dyDescent="0.25">
      <c r="A1040" s="4" t="s">
        <v>152</v>
      </c>
      <c r="B1040" s="1" t="s">
        <v>1</v>
      </c>
      <c r="C1040" s="2" t="s">
        <v>593</v>
      </c>
    </row>
    <row r="1041" spans="1:3" x14ac:dyDescent="0.25">
      <c r="A1041" s="4" t="s">
        <v>122</v>
      </c>
      <c r="B1041" s="1" t="s">
        <v>1</v>
      </c>
      <c r="C1041" s="2" t="s">
        <v>594</v>
      </c>
    </row>
    <row r="1043" spans="1:3" s="7" customFormat="1" ht="15.75" x14ac:dyDescent="0.3">
      <c r="A1043" s="5" t="s">
        <v>595</v>
      </c>
      <c r="B1043" s="5"/>
      <c r="C1043" s="6"/>
    </row>
    <row r="1044" spans="1:3" x14ac:dyDescent="0.25">
      <c r="A1044" s="4" t="s">
        <v>156</v>
      </c>
      <c r="B1044" s="1" t="s">
        <v>1</v>
      </c>
      <c r="C1044" s="2" t="s">
        <v>596</v>
      </c>
    </row>
    <row r="1045" spans="1:3" x14ac:dyDescent="0.25">
      <c r="A1045" s="4" t="s">
        <v>154</v>
      </c>
      <c r="B1045" s="1" t="s">
        <v>1</v>
      </c>
      <c r="C1045" s="2">
        <v>2</v>
      </c>
    </row>
    <row r="1046" spans="1:3" x14ac:dyDescent="0.25">
      <c r="A1046" s="4" t="s">
        <v>153</v>
      </c>
      <c r="B1046" s="1" t="s">
        <v>1</v>
      </c>
      <c r="C1046" s="2">
        <v>2</v>
      </c>
    </row>
    <row r="1047" spans="1:3" x14ac:dyDescent="0.25">
      <c r="A1047" s="4" t="s">
        <v>152</v>
      </c>
      <c r="B1047" s="1" t="s">
        <v>1</v>
      </c>
      <c r="C1047" s="2" t="s">
        <v>597</v>
      </c>
    </row>
    <row r="1048" spans="1:3" x14ac:dyDescent="0.25">
      <c r="A1048" s="4" t="s">
        <v>151</v>
      </c>
      <c r="B1048" s="1" t="s">
        <v>1</v>
      </c>
      <c r="C1048" s="2" t="s">
        <v>598</v>
      </c>
    </row>
    <row r="1049" spans="1:3" x14ac:dyDescent="0.25">
      <c r="A1049" s="4" t="s">
        <v>122</v>
      </c>
      <c r="B1049" s="1" t="s">
        <v>1</v>
      </c>
      <c r="C1049" s="2" t="s">
        <v>848</v>
      </c>
    </row>
    <row r="1050" spans="1:3" x14ac:dyDescent="0.25">
      <c r="A1050" s="4" t="s">
        <v>121</v>
      </c>
      <c r="B1050" s="1" t="s">
        <v>1</v>
      </c>
      <c r="C1050" s="2" t="s">
        <v>599</v>
      </c>
    </row>
    <row r="1052" spans="1:3" s="7" customFormat="1" ht="15.75" x14ac:dyDescent="0.3">
      <c r="A1052" s="5" t="s">
        <v>645</v>
      </c>
      <c r="B1052" s="5"/>
      <c r="C1052" s="6"/>
    </row>
    <row r="1053" spans="1:3" x14ac:dyDescent="0.25">
      <c r="A1053" s="4" t="s">
        <v>156</v>
      </c>
      <c r="B1053" s="1" t="s">
        <v>1</v>
      </c>
      <c r="C1053" s="2" t="s">
        <v>596</v>
      </c>
    </row>
    <row r="1054" spans="1:3" x14ac:dyDescent="0.25">
      <c r="A1054" s="4" t="s">
        <v>154</v>
      </c>
      <c r="B1054" s="1" t="s">
        <v>1</v>
      </c>
      <c r="C1054" s="2">
        <v>4</v>
      </c>
    </row>
    <row r="1055" spans="1:3" x14ac:dyDescent="0.25">
      <c r="A1055" s="4" t="s">
        <v>153</v>
      </c>
      <c r="B1055" s="1" t="s">
        <v>1</v>
      </c>
      <c r="C1055" s="2">
        <v>4</v>
      </c>
    </row>
    <row r="1056" spans="1:3" x14ac:dyDescent="0.25">
      <c r="A1056" s="4" t="s">
        <v>152</v>
      </c>
      <c r="B1056" s="1" t="s">
        <v>1</v>
      </c>
      <c r="C1056" s="2" t="s">
        <v>643</v>
      </c>
    </row>
    <row r="1057" spans="1:3" x14ac:dyDescent="0.25">
      <c r="A1057" s="4" t="s">
        <v>151</v>
      </c>
      <c r="B1057" s="1" t="s">
        <v>1</v>
      </c>
      <c r="C1057" s="2" t="s">
        <v>644</v>
      </c>
    </row>
    <row r="1058" spans="1:3" x14ac:dyDescent="0.25">
      <c r="A1058" s="4" t="s">
        <v>150</v>
      </c>
      <c r="B1058" s="1" t="s">
        <v>1</v>
      </c>
      <c r="C1058" s="2" t="s">
        <v>642</v>
      </c>
    </row>
    <row r="1059" spans="1:3" x14ac:dyDescent="0.25">
      <c r="A1059" s="4" t="s">
        <v>149</v>
      </c>
      <c r="B1059" s="1" t="s">
        <v>1</v>
      </c>
      <c r="C1059" s="2" t="s">
        <v>598</v>
      </c>
    </row>
    <row r="1060" spans="1:3" x14ac:dyDescent="0.25">
      <c r="A1060" s="4" t="s">
        <v>122</v>
      </c>
      <c r="B1060" s="1" t="s">
        <v>1</v>
      </c>
      <c r="C1060" s="2" t="s">
        <v>848</v>
      </c>
    </row>
    <row r="1061" spans="1:3" x14ac:dyDescent="0.25">
      <c r="A1061" s="4" t="s">
        <v>121</v>
      </c>
      <c r="B1061" s="1" t="s">
        <v>1</v>
      </c>
      <c r="C1061" s="2" t="s">
        <v>681</v>
      </c>
    </row>
    <row r="1062" spans="1:3" x14ac:dyDescent="0.25">
      <c r="A1062" s="4" t="s">
        <v>120</v>
      </c>
      <c r="B1062" s="1" t="s">
        <v>1</v>
      </c>
      <c r="C1062" s="2" t="s">
        <v>849</v>
      </c>
    </row>
    <row r="1063" spans="1:3" x14ac:dyDescent="0.25">
      <c r="A1063" s="4" t="s">
        <v>119</v>
      </c>
      <c r="B1063" s="1" t="s">
        <v>1</v>
      </c>
      <c r="C1063" s="2" t="s">
        <v>599</v>
      </c>
    </row>
    <row r="1065" spans="1:3" s="7" customFormat="1" ht="15.75" x14ac:dyDescent="0.3">
      <c r="A1065" s="5" t="s">
        <v>600</v>
      </c>
      <c r="B1065" s="5"/>
      <c r="C1065" s="6"/>
    </row>
    <row r="1066" spans="1:3" x14ac:dyDescent="0.25">
      <c r="A1066" s="4" t="s">
        <v>156</v>
      </c>
      <c r="B1066" s="1" t="s">
        <v>1</v>
      </c>
      <c r="C1066" s="2" t="s">
        <v>601</v>
      </c>
    </row>
    <row r="1067" spans="1:3" x14ac:dyDescent="0.25">
      <c r="A1067" s="4" t="s">
        <v>154</v>
      </c>
      <c r="B1067" s="1" t="s">
        <v>1</v>
      </c>
      <c r="C1067" s="2">
        <v>3</v>
      </c>
    </row>
    <row r="1068" spans="1:3" x14ac:dyDescent="0.25">
      <c r="A1068" s="4" t="s">
        <v>153</v>
      </c>
      <c r="B1068" s="1" t="s">
        <v>1</v>
      </c>
      <c r="C1068" s="2">
        <v>3</v>
      </c>
    </row>
    <row r="1069" spans="1:3" x14ac:dyDescent="0.25">
      <c r="A1069" s="4" t="s">
        <v>152</v>
      </c>
      <c r="B1069" s="1" t="s">
        <v>1</v>
      </c>
      <c r="C1069" s="2" t="s">
        <v>195</v>
      </c>
    </row>
    <row r="1070" spans="1:3" x14ac:dyDescent="0.25">
      <c r="A1070" s="4" t="s">
        <v>122</v>
      </c>
      <c r="B1070" s="1" t="s">
        <v>1</v>
      </c>
      <c r="C1070" s="2" t="s">
        <v>848</v>
      </c>
    </row>
    <row r="1071" spans="1:3" x14ac:dyDescent="0.25">
      <c r="A1071" s="4" t="s">
        <v>121</v>
      </c>
      <c r="B1071" s="1" t="s">
        <v>1</v>
      </c>
      <c r="C1071" s="2" t="s">
        <v>945</v>
      </c>
    </row>
    <row r="1072" spans="1:3" x14ac:dyDescent="0.25">
      <c r="A1072" s="4" t="s">
        <v>120</v>
      </c>
      <c r="B1072" s="1" t="s">
        <v>1</v>
      </c>
      <c r="C1072" s="2" t="s">
        <v>602</v>
      </c>
    </row>
    <row r="1074" spans="1:3" s="7" customFormat="1" ht="15.75" x14ac:dyDescent="0.3">
      <c r="A1074" s="5" t="s">
        <v>603</v>
      </c>
      <c r="B1074" s="5"/>
      <c r="C1074" s="6"/>
    </row>
    <row r="1075" spans="1:3" x14ac:dyDescent="0.25">
      <c r="A1075" s="4" t="s">
        <v>156</v>
      </c>
      <c r="B1075" s="1" t="s">
        <v>1</v>
      </c>
      <c r="C1075" s="2" t="s">
        <v>604</v>
      </c>
    </row>
    <row r="1076" spans="1:3" x14ac:dyDescent="0.25">
      <c r="A1076" s="4" t="s">
        <v>154</v>
      </c>
      <c r="B1076" s="1" t="s">
        <v>1</v>
      </c>
      <c r="C1076" s="2">
        <v>5</v>
      </c>
    </row>
    <row r="1077" spans="1:3" x14ac:dyDescent="0.25">
      <c r="A1077" s="4" t="s">
        <v>153</v>
      </c>
      <c r="B1077" s="1" t="s">
        <v>1</v>
      </c>
      <c r="C1077" s="2">
        <v>5</v>
      </c>
    </row>
    <row r="1078" spans="1:3" x14ac:dyDescent="0.25">
      <c r="A1078" s="4" t="s">
        <v>152</v>
      </c>
      <c r="B1078" s="1" t="s">
        <v>1</v>
      </c>
      <c r="C1078" s="2" t="s">
        <v>899</v>
      </c>
    </row>
    <row r="1079" spans="1:3" x14ac:dyDescent="0.25">
      <c r="A1079" s="4" t="s">
        <v>151</v>
      </c>
      <c r="B1079" s="1" t="s">
        <v>1</v>
      </c>
      <c r="C1079" s="2" t="s">
        <v>900</v>
      </c>
    </row>
    <row r="1080" spans="1:3" x14ac:dyDescent="0.25">
      <c r="A1080" s="4" t="s">
        <v>150</v>
      </c>
      <c r="B1080" s="1" t="s">
        <v>1</v>
      </c>
      <c r="C1080" s="2" t="s">
        <v>901</v>
      </c>
    </row>
    <row r="1081" spans="1:3" x14ac:dyDescent="0.25">
      <c r="A1081" s="4" t="s">
        <v>149</v>
      </c>
      <c r="B1081" s="1" t="s">
        <v>1</v>
      </c>
      <c r="C1081" s="2" t="s">
        <v>902</v>
      </c>
    </row>
    <row r="1082" spans="1:3" x14ac:dyDescent="0.25">
      <c r="A1082" s="4" t="s">
        <v>148</v>
      </c>
      <c r="B1082" s="1" t="s">
        <v>1</v>
      </c>
      <c r="C1082" s="2" t="s">
        <v>907</v>
      </c>
    </row>
    <row r="1083" spans="1:3" x14ac:dyDescent="0.25">
      <c r="A1083" s="4" t="s">
        <v>122</v>
      </c>
      <c r="B1083" s="1" t="s">
        <v>1</v>
      </c>
      <c r="C1083" s="2" t="s">
        <v>605</v>
      </c>
    </row>
    <row r="1084" spans="1:3" x14ac:dyDescent="0.25">
      <c r="A1084" s="4" t="s">
        <v>121</v>
      </c>
      <c r="B1084" s="1" t="s">
        <v>1</v>
      </c>
      <c r="C1084" s="2" t="s">
        <v>867</v>
      </c>
    </row>
    <row r="1085" spans="1:3" x14ac:dyDescent="0.25">
      <c r="A1085" s="4" t="s">
        <v>120</v>
      </c>
      <c r="B1085" s="1" t="s">
        <v>1</v>
      </c>
      <c r="C1085" s="2" t="s">
        <v>606</v>
      </c>
    </row>
    <row r="1086" spans="1:3" x14ac:dyDescent="0.25">
      <c r="A1086" s="4" t="s">
        <v>119</v>
      </c>
      <c r="B1086" s="1" t="s">
        <v>1</v>
      </c>
      <c r="C1086" s="2" t="s">
        <v>865</v>
      </c>
    </row>
    <row r="1087" spans="1:3" x14ac:dyDescent="0.25">
      <c r="A1087" s="4" t="s">
        <v>118</v>
      </c>
      <c r="B1087" s="1" t="s">
        <v>1</v>
      </c>
      <c r="C1087" s="2" t="s">
        <v>607</v>
      </c>
    </row>
    <row r="1089" spans="1:3" s="7" customFormat="1" ht="15.75" x14ac:dyDescent="0.3">
      <c r="A1089" s="5" t="s">
        <v>608</v>
      </c>
      <c r="B1089" s="5"/>
      <c r="C1089" s="6"/>
    </row>
    <row r="1090" spans="1:3" x14ac:dyDescent="0.25">
      <c r="A1090" s="4" t="s">
        <v>156</v>
      </c>
      <c r="B1090" s="1" t="s">
        <v>1</v>
      </c>
      <c r="C1090" s="2" t="s">
        <v>609</v>
      </c>
    </row>
    <row r="1091" spans="1:3" x14ac:dyDescent="0.25">
      <c r="A1091" s="4" t="s">
        <v>154</v>
      </c>
      <c r="B1091" s="1" t="s">
        <v>1</v>
      </c>
      <c r="C1091" s="2">
        <v>4</v>
      </c>
    </row>
    <row r="1092" spans="1:3" x14ac:dyDescent="0.25">
      <c r="A1092" s="4" t="s">
        <v>153</v>
      </c>
      <c r="B1092" s="1" t="s">
        <v>1</v>
      </c>
      <c r="C1092" s="2">
        <v>4</v>
      </c>
    </row>
    <row r="1093" spans="1:3" x14ac:dyDescent="0.25">
      <c r="A1093" s="4" t="s">
        <v>152</v>
      </c>
      <c r="B1093" s="1" t="s">
        <v>1</v>
      </c>
      <c r="C1093" s="2" t="s">
        <v>899</v>
      </c>
    </row>
    <row r="1094" spans="1:3" x14ac:dyDescent="0.25">
      <c r="A1094" s="4" t="s">
        <v>151</v>
      </c>
      <c r="B1094" s="1" t="s">
        <v>1</v>
      </c>
      <c r="C1094" s="2" t="s">
        <v>906</v>
      </c>
    </row>
    <row r="1095" spans="1:3" x14ac:dyDescent="0.25">
      <c r="A1095" s="4" t="s">
        <v>150</v>
      </c>
      <c r="B1095" s="1" t="s">
        <v>1</v>
      </c>
      <c r="C1095" s="2" t="s">
        <v>905</v>
      </c>
    </row>
    <row r="1096" spans="1:3" x14ac:dyDescent="0.25">
      <c r="A1096" s="4" t="s">
        <v>149</v>
      </c>
      <c r="B1096" s="1" t="s">
        <v>1</v>
      </c>
      <c r="C1096" s="2" t="s">
        <v>904</v>
      </c>
    </row>
    <row r="1097" spans="1:3" x14ac:dyDescent="0.25">
      <c r="A1097" s="4" t="s">
        <v>148</v>
      </c>
      <c r="B1097" s="1" t="s">
        <v>1</v>
      </c>
      <c r="C1097" s="2" t="s">
        <v>903</v>
      </c>
    </row>
    <row r="1098" spans="1:3" x14ac:dyDescent="0.25">
      <c r="A1098" s="4" t="s">
        <v>122</v>
      </c>
      <c r="B1098" s="1" t="s">
        <v>1</v>
      </c>
      <c r="C1098" s="2" t="s">
        <v>868</v>
      </c>
    </row>
    <row r="1099" spans="1:3" x14ac:dyDescent="0.25">
      <c r="A1099" s="4" t="s">
        <v>121</v>
      </c>
      <c r="B1099" s="1" t="s">
        <v>1</v>
      </c>
      <c r="C1099" s="2" t="s">
        <v>606</v>
      </c>
    </row>
    <row r="1100" spans="1:3" x14ac:dyDescent="0.25">
      <c r="A1100" s="4" t="s">
        <v>120</v>
      </c>
      <c r="B1100" s="1" t="s">
        <v>1</v>
      </c>
      <c r="C1100" s="2" t="s">
        <v>866</v>
      </c>
    </row>
    <row r="1101" spans="1:3" x14ac:dyDescent="0.25">
      <c r="A1101" s="4" t="s">
        <v>119</v>
      </c>
      <c r="B1101" s="1" t="s">
        <v>1</v>
      </c>
      <c r="C1101" s="2" t="s">
        <v>607</v>
      </c>
    </row>
    <row r="1103" spans="1:3" s="7" customFormat="1" ht="15.75" x14ac:dyDescent="0.3">
      <c r="A1103" s="5" t="s">
        <v>610</v>
      </c>
      <c r="B1103" s="5"/>
      <c r="C1103" s="6"/>
    </row>
    <row r="1104" spans="1:3" x14ac:dyDescent="0.25">
      <c r="A1104" s="4" t="s">
        <v>156</v>
      </c>
      <c r="B1104" s="1" t="s">
        <v>1</v>
      </c>
      <c r="C1104" s="2" t="s">
        <v>611</v>
      </c>
    </row>
    <row r="1105" spans="1:3" x14ac:dyDescent="0.25">
      <c r="A1105" s="4" t="s">
        <v>154</v>
      </c>
      <c r="B1105" s="1" t="s">
        <v>1</v>
      </c>
      <c r="C1105" s="2">
        <v>1</v>
      </c>
    </row>
    <row r="1106" spans="1:3" x14ac:dyDescent="0.25">
      <c r="A1106" s="4" t="s">
        <v>153</v>
      </c>
      <c r="B1106" s="1" t="s">
        <v>1</v>
      </c>
      <c r="C1106" s="2">
        <v>2</v>
      </c>
    </row>
    <row r="1107" spans="1:3" x14ac:dyDescent="0.25">
      <c r="A1107" s="4" t="s">
        <v>152</v>
      </c>
      <c r="B1107" s="1" t="s">
        <v>1</v>
      </c>
      <c r="C1107" s="2" t="s">
        <v>195</v>
      </c>
    </row>
    <row r="1108" spans="1:3" x14ac:dyDescent="0.25">
      <c r="A1108" s="4" t="s">
        <v>122</v>
      </c>
      <c r="B1108" s="1" t="s">
        <v>1</v>
      </c>
      <c r="C1108" s="2" t="s">
        <v>2</v>
      </c>
    </row>
    <row r="1109" spans="1:3" x14ac:dyDescent="0.25">
      <c r="A1109" s="4" t="s">
        <v>121</v>
      </c>
      <c r="B1109" s="1" t="s">
        <v>1</v>
      </c>
      <c r="C1109" s="2" t="s">
        <v>612</v>
      </c>
    </row>
    <row r="1111" spans="1:3" s="7" customFormat="1" ht="15.75" x14ac:dyDescent="0.3">
      <c r="A1111" s="5" t="s">
        <v>613</v>
      </c>
      <c r="B1111" s="5"/>
      <c r="C1111" s="6"/>
    </row>
    <row r="1112" spans="1:3" x14ac:dyDescent="0.25">
      <c r="A1112" s="4" t="s">
        <v>156</v>
      </c>
      <c r="B1112" s="1" t="s">
        <v>1</v>
      </c>
      <c r="C1112" s="2" t="s">
        <v>614</v>
      </c>
    </row>
    <row r="1113" spans="1:3" x14ac:dyDescent="0.25">
      <c r="A1113" s="4" t="s">
        <v>154</v>
      </c>
      <c r="B1113" s="1" t="s">
        <v>1</v>
      </c>
      <c r="C1113" s="2">
        <v>1</v>
      </c>
    </row>
    <row r="1114" spans="1:3" x14ac:dyDescent="0.25">
      <c r="A1114" s="4" t="s">
        <v>153</v>
      </c>
      <c r="B1114" s="1" t="s">
        <v>1</v>
      </c>
      <c r="C1114" s="2">
        <v>2</v>
      </c>
    </row>
    <row r="1115" spans="1:3" x14ac:dyDescent="0.25">
      <c r="A1115" s="4" t="s">
        <v>152</v>
      </c>
      <c r="B1115" s="1" t="s">
        <v>1</v>
      </c>
      <c r="C1115" s="2" t="s">
        <v>195</v>
      </c>
    </row>
    <row r="1116" spans="1:3" x14ac:dyDescent="0.25">
      <c r="A1116" s="4" t="s">
        <v>122</v>
      </c>
      <c r="B1116" s="1" t="s">
        <v>1</v>
      </c>
      <c r="C1116" s="2" t="s">
        <v>615</v>
      </c>
    </row>
    <row r="1117" spans="1:3" x14ac:dyDescent="0.25">
      <c r="A1117" s="4" t="s">
        <v>121</v>
      </c>
      <c r="B1117" s="1" t="s">
        <v>1</v>
      </c>
      <c r="C1117" s="2" t="s">
        <v>612</v>
      </c>
    </row>
    <row r="1119" spans="1:3" x14ac:dyDescent="0.25">
      <c r="A1119" s="4" t="s">
        <v>616</v>
      </c>
    </row>
    <row r="1120" spans="1:3" x14ac:dyDescent="0.25">
      <c r="A1120" s="4" t="s">
        <v>617</v>
      </c>
    </row>
    <row r="1121" spans="1:3" x14ac:dyDescent="0.25">
      <c r="A1121" s="4" t="s">
        <v>616</v>
      </c>
    </row>
    <row r="1123" spans="1:3" s="7" customFormat="1" ht="15.75" x14ac:dyDescent="0.3">
      <c r="A1123" s="5" t="s">
        <v>618</v>
      </c>
      <c r="B1123" s="5"/>
      <c r="C1123" s="6"/>
    </row>
    <row r="1124" spans="1:3" x14ac:dyDescent="0.25">
      <c r="A1124" s="4" t="s">
        <v>306</v>
      </c>
      <c r="B1124" s="1" t="s">
        <v>1</v>
      </c>
      <c r="C1124" s="2" t="s">
        <v>80</v>
      </c>
    </row>
    <row r="1125" spans="1:3" x14ac:dyDescent="0.25">
      <c r="A1125" s="4" t="s">
        <v>156</v>
      </c>
      <c r="B1125" s="1" t="s">
        <v>1</v>
      </c>
      <c r="C1125" s="2" t="s">
        <v>195</v>
      </c>
    </row>
    <row r="1126" spans="1:3" x14ac:dyDescent="0.25">
      <c r="A1126" s="4" t="s">
        <v>154</v>
      </c>
      <c r="B1126" s="1" t="s">
        <v>1</v>
      </c>
      <c r="C1126" s="2">
        <v>5</v>
      </c>
    </row>
    <row r="1127" spans="1:3" x14ac:dyDescent="0.25">
      <c r="A1127" s="4" t="s">
        <v>153</v>
      </c>
      <c r="B1127" s="1" t="s">
        <v>1</v>
      </c>
      <c r="C1127" s="2">
        <v>5</v>
      </c>
    </row>
    <row r="1128" spans="1:3" x14ac:dyDescent="0.25">
      <c r="A1128" s="4" t="s">
        <v>152</v>
      </c>
      <c r="B1128" s="1" t="s">
        <v>1</v>
      </c>
      <c r="C1128" s="2" t="s">
        <v>619</v>
      </c>
    </row>
    <row r="1129" spans="1:3" x14ac:dyDescent="0.25">
      <c r="A1129" s="4" t="s">
        <v>122</v>
      </c>
      <c r="B1129" s="1" t="s">
        <v>1</v>
      </c>
      <c r="C1129" s="2" t="s">
        <v>308</v>
      </c>
    </row>
    <row r="1130" spans="1:3" x14ac:dyDescent="0.25">
      <c r="A1130" s="4" t="s">
        <v>121</v>
      </c>
      <c r="B1130" s="1" t="s">
        <v>1</v>
      </c>
      <c r="C1130" s="2" t="s">
        <v>620</v>
      </c>
    </row>
    <row r="1131" spans="1:3" x14ac:dyDescent="0.25">
      <c r="A1131" s="4" t="s">
        <v>120</v>
      </c>
      <c r="B1131" s="1" t="s">
        <v>1</v>
      </c>
      <c r="C1131" s="2" t="s">
        <v>309</v>
      </c>
    </row>
    <row r="1132" spans="1:3" x14ac:dyDescent="0.25">
      <c r="A1132" s="4" t="s">
        <v>119</v>
      </c>
      <c r="B1132" s="1" t="s">
        <v>1</v>
      </c>
      <c r="C1132" s="2" t="s">
        <v>310</v>
      </c>
    </row>
    <row r="1133" spans="1:3" x14ac:dyDescent="0.25">
      <c r="A1133" s="4" t="s">
        <v>118</v>
      </c>
      <c r="B1133" s="1" t="s">
        <v>1</v>
      </c>
      <c r="C1133" s="2" t="s">
        <v>311</v>
      </c>
    </row>
    <row r="1135" spans="1:3" s="7" customFormat="1" ht="15.75" x14ac:dyDescent="0.3">
      <c r="A1135" s="5" t="s">
        <v>621</v>
      </c>
      <c r="B1135" s="5"/>
      <c r="C1135" s="6"/>
    </row>
    <row r="1136" spans="1:3" x14ac:dyDescent="0.25">
      <c r="A1136" s="4" t="s">
        <v>306</v>
      </c>
      <c r="B1136" s="1" t="s">
        <v>1</v>
      </c>
      <c r="C1136" s="2" t="s">
        <v>80</v>
      </c>
    </row>
    <row r="1137" spans="1:3" x14ac:dyDescent="0.25">
      <c r="A1137" s="4" t="s">
        <v>156</v>
      </c>
      <c r="B1137" s="1" t="s">
        <v>1</v>
      </c>
      <c r="C1137" s="2" t="s">
        <v>195</v>
      </c>
    </row>
    <row r="1138" spans="1:3" x14ac:dyDescent="0.25">
      <c r="A1138" s="4" t="s">
        <v>154</v>
      </c>
      <c r="B1138" s="1" t="s">
        <v>1</v>
      </c>
      <c r="C1138" s="2">
        <v>5</v>
      </c>
    </row>
    <row r="1139" spans="1:3" x14ac:dyDescent="0.25">
      <c r="A1139" s="4" t="s">
        <v>153</v>
      </c>
      <c r="B1139" s="1" t="s">
        <v>1</v>
      </c>
      <c r="C1139" s="2">
        <v>5</v>
      </c>
    </row>
    <row r="1140" spans="1:3" x14ac:dyDescent="0.25">
      <c r="A1140" s="4" t="s">
        <v>152</v>
      </c>
      <c r="B1140" s="1" t="s">
        <v>1</v>
      </c>
      <c r="C1140" s="2" t="s">
        <v>622</v>
      </c>
    </row>
    <row r="1141" spans="1:3" x14ac:dyDescent="0.25">
      <c r="A1141" s="4" t="s">
        <v>122</v>
      </c>
      <c r="B1141" s="1" t="s">
        <v>1</v>
      </c>
      <c r="C1141" s="2" t="s">
        <v>336</v>
      </c>
    </row>
    <row r="1142" spans="1:3" x14ac:dyDescent="0.25">
      <c r="A1142" s="4" t="s">
        <v>121</v>
      </c>
      <c r="B1142" s="1" t="s">
        <v>1</v>
      </c>
      <c r="C1142" s="2" t="s">
        <v>623</v>
      </c>
    </row>
    <row r="1143" spans="1:3" x14ac:dyDescent="0.25">
      <c r="A1143" s="4" t="s">
        <v>120</v>
      </c>
      <c r="B1143" s="1" t="s">
        <v>1</v>
      </c>
      <c r="C1143" s="2" t="s">
        <v>337</v>
      </c>
    </row>
    <row r="1144" spans="1:3" x14ac:dyDescent="0.25">
      <c r="A1144" s="4" t="s">
        <v>119</v>
      </c>
      <c r="B1144" s="1" t="s">
        <v>1</v>
      </c>
      <c r="C1144" s="2" t="s">
        <v>338</v>
      </c>
    </row>
    <row r="1145" spans="1:3" x14ac:dyDescent="0.25">
      <c r="A1145" s="4" t="s">
        <v>118</v>
      </c>
      <c r="B1145" s="1" t="s">
        <v>1</v>
      </c>
      <c r="C1145" s="2" t="s">
        <v>339</v>
      </c>
    </row>
    <row r="1147" spans="1:3" s="7" customFormat="1" ht="15.75" x14ac:dyDescent="0.3">
      <c r="A1147" s="5" t="s">
        <v>624</v>
      </c>
      <c r="B1147" s="5"/>
      <c r="C1147" s="6"/>
    </row>
    <row r="1148" spans="1:3" x14ac:dyDescent="0.25">
      <c r="A1148" s="4" t="s">
        <v>156</v>
      </c>
      <c r="B1148" s="1" t="s">
        <v>1</v>
      </c>
      <c r="C1148" s="2" t="s">
        <v>524</v>
      </c>
    </row>
    <row r="1149" spans="1:3" x14ac:dyDescent="0.25">
      <c r="A1149" s="4" t="s">
        <v>154</v>
      </c>
      <c r="B1149" s="1" t="s">
        <v>1</v>
      </c>
      <c r="C1149" s="2">
        <v>2</v>
      </c>
    </row>
    <row r="1150" spans="1:3" x14ac:dyDescent="0.25">
      <c r="A1150" s="4" t="s">
        <v>153</v>
      </c>
      <c r="B1150" s="1" t="s">
        <v>1</v>
      </c>
      <c r="C1150" s="2">
        <v>2</v>
      </c>
    </row>
    <row r="1151" spans="1:3" x14ac:dyDescent="0.25">
      <c r="A1151" s="4" t="s">
        <v>152</v>
      </c>
      <c r="B1151" s="1" t="s">
        <v>1</v>
      </c>
      <c r="C1151" s="2" t="s">
        <v>625</v>
      </c>
    </row>
    <row r="1152" spans="1:3" x14ac:dyDescent="0.25">
      <c r="A1152" s="4" t="s">
        <v>122</v>
      </c>
      <c r="B1152" s="1" t="s">
        <v>1</v>
      </c>
      <c r="C1152" s="2" t="s">
        <v>762</v>
      </c>
    </row>
    <row r="1153" spans="1:3" x14ac:dyDescent="0.25">
      <c r="A1153" s="4" t="s">
        <v>121</v>
      </c>
      <c r="B1153" s="1" t="s">
        <v>1</v>
      </c>
      <c r="C1153" s="2" t="s">
        <v>750</v>
      </c>
    </row>
    <row r="1155" spans="1:3" s="7" customFormat="1" ht="15.75" x14ac:dyDescent="0.3">
      <c r="A1155" s="5" t="s">
        <v>626</v>
      </c>
      <c r="B1155" s="5"/>
      <c r="C1155" s="6"/>
    </row>
    <row r="1156" spans="1:3" x14ac:dyDescent="0.25">
      <c r="A1156" s="4" t="s">
        <v>156</v>
      </c>
      <c r="B1156" s="1" t="s">
        <v>1</v>
      </c>
      <c r="C1156" s="2" t="s">
        <v>524</v>
      </c>
    </row>
    <row r="1157" spans="1:3" x14ac:dyDescent="0.25">
      <c r="A1157" s="4" t="s">
        <v>154</v>
      </c>
      <c r="B1157" s="1" t="s">
        <v>1</v>
      </c>
      <c r="C1157" s="2">
        <v>2</v>
      </c>
    </row>
    <row r="1158" spans="1:3" x14ac:dyDescent="0.25">
      <c r="A1158" s="4" t="s">
        <v>153</v>
      </c>
      <c r="B1158" s="1" t="s">
        <v>1</v>
      </c>
      <c r="C1158" s="2">
        <v>2</v>
      </c>
    </row>
    <row r="1159" spans="1:3" x14ac:dyDescent="0.25">
      <c r="A1159" s="4" t="s">
        <v>152</v>
      </c>
      <c r="B1159" s="1" t="s">
        <v>1</v>
      </c>
      <c r="C1159" s="2" t="s">
        <v>653</v>
      </c>
    </row>
    <row r="1160" spans="1:3" x14ac:dyDescent="0.25">
      <c r="A1160" s="4" t="s">
        <v>151</v>
      </c>
      <c r="B1160" s="1" t="s">
        <v>1</v>
      </c>
      <c r="C1160" s="2" t="s">
        <v>528</v>
      </c>
    </row>
    <row r="1161" spans="1:3" x14ac:dyDescent="0.25">
      <c r="A1161" s="4" t="s">
        <v>122</v>
      </c>
      <c r="B1161" s="1" t="s">
        <v>1</v>
      </c>
      <c r="C1161" s="2" t="s">
        <v>763</v>
      </c>
    </row>
    <row r="1162" spans="1:3" x14ac:dyDescent="0.25">
      <c r="A1162" s="4" t="s">
        <v>121</v>
      </c>
      <c r="B1162" s="1" t="s">
        <v>1</v>
      </c>
      <c r="C1162" s="2" t="s">
        <v>750</v>
      </c>
    </row>
    <row r="1164" spans="1:3" s="7" customFormat="1" ht="15.75" x14ac:dyDescent="0.3">
      <c r="A1164" s="5" t="s">
        <v>627</v>
      </c>
      <c r="B1164" s="5"/>
      <c r="C1164" s="6"/>
    </row>
    <row r="1165" spans="1:3" x14ac:dyDescent="0.25">
      <c r="A1165" s="4" t="s">
        <v>156</v>
      </c>
      <c r="B1165" s="1" t="s">
        <v>1</v>
      </c>
      <c r="C1165" s="2" t="s">
        <v>195</v>
      </c>
    </row>
    <row r="1166" spans="1:3" x14ac:dyDescent="0.25">
      <c r="A1166" s="4" t="s">
        <v>154</v>
      </c>
      <c r="B1166" s="1" t="s">
        <v>1</v>
      </c>
      <c r="C1166" s="2">
        <v>4</v>
      </c>
    </row>
    <row r="1167" spans="1:3" x14ac:dyDescent="0.25">
      <c r="A1167" s="4" t="s">
        <v>153</v>
      </c>
      <c r="B1167" s="1" t="s">
        <v>1</v>
      </c>
      <c r="C1167" s="2">
        <v>4</v>
      </c>
    </row>
    <row r="1168" spans="1:3" x14ac:dyDescent="0.25">
      <c r="A1168" s="4" t="s">
        <v>152</v>
      </c>
      <c r="B1168" s="1" t="s">
        <v>1</v>
      </c>
      <c r="C1168" s="2" t="s">
        <v>628</v>
      </c>
    </row>
    <row r="1169" spans="1:3" x14ac:dyDescent="0.25">
      <c r="A1169" s="4" t="s">
        <v>151</v>
      </c>
      <c r="B1169" s="1" t="s">
        <v>1</v>
      </c>
      <c r="C1169" s="2" t="s">
        <v>650</v>
      </c>
    </row>
    <row r="1170" spans="1:3" x14ac:dyDescent="0.25">
      <c r="A1170" s="4" t="s">
        <v>150</v>
      </c>
      <c r="B1170" s="1" t="s">
        <v>1</v>
      </c>
      <c r="C1170" s="2" t="s">
        <v>651</v>
      </c>
    </row>
    <row r="1171" spans="1:3" x14ac:dyDescent="0.25">
      <c r="A1171" s="4" t="s">
        <v>122</v>
      </c>
      <c r="B1171" s="1" t="s">
        <v>1</v>
      </c>
      <c r="C1171" s="2" t="s">
        <v>764</v>
      </c>
    </row>
    <row r="1172" spans="1:3" x14ac:dyDescent="0.25">
      <c r="A1172" s="4" t="s">
        <v>121</v>
      </c>
      <c r="B1172" s="1" t="s">
        <v>1</v>
      </c>
      <c r="C1172" s="2" t="s">
        <v>629</v>
      </c>
    </row>
    <row r="1173" spans="1:3" x14ac:dyDescent="0.25">
      <c r="A1173" s="4" t="s">
        <v>120</v>
      </c>
      <c r="B1173" s="1" t="s">
        <v>1</v>
      </c>
      <c r="C1173" s="2" t="s">
        <v>591</v>
      </c>
    </row>
    <row r="1175" spans="1:3" s="7" customFormat="1" ht="15.75" x14ac:dyDescent="0.3">
      <c r="A1175" s="5" t="s">
        <v>630</v>
      </c>
      <c r="B1175" s="5"/>
      <c r="C1175" s="6"/>
    </row>
    <row r="1176" spans="1:3" x14ac:dyDescent="0.25">
      <c r="A1176" s="4" t="s">
        <v>267</v>
      </c>
      <c r="B1176" s="1" t="s">
        <v>1</v>
      </c>
      <c r="C1176" s="2" t="s">
        <v>631</v>
      </c>
    </row>
    <row r="1177" spans="1:3" x14ac:dyDescent="0.25">
      <c r="A1177" s="4" t="s">
        <v>156</v>
      </c>
      <c r="B1177" s="1" t="s">
        <v>1</v>
      </c>
      <c r="C1177" s="2" t="s">
        <v>195</v>
      </c>
    </row>
    <row r="1178" spans="1:3" x14ac:dyDescent="0.25">
      <c r="A1178" s="4" t="s">
        <v>154</v>
      </c>
      <c r="B1178" s="1" t="s">
        <v>1</v>
      </c>
      <c r="C1178" s="2">
        <v>4</v>
      </c>
    </row>
    <row r="1179" spans="1:3" x14ac:dyDescent="0.25">
      <c r="A1179" s="4" t="s">
        <v>153</v>
      </c>
      <c r="B1179" s="1" t="s">
        <v>1</v>
      </c>
      <c r="C1179" s="2">
        <v>4</v>
      </c>
    </row>
    <row r="1180" spans="1:3" x14ac:dyDescent="0.25">
      <c r="A1180" s="4" t="s">
        <v>152</v>
      </c>
      <c r="B1180" s="1" t="s">
        <v>1</v>
      </c>
      <c r="C1180" s="2" t="s">
        <v>652</v>
      </c>
    </row>
    <row r="1181" spans="1:3" x14ac:dyDescent="0.25">
      <c r="A1181" s="4" t="s">
        <v>151</v>
      </c>
      <c r="B1181" s="1" t="s">
        <v>1</v>
      </c>
      <c r="C1181" s="2" t="s">
        <v>628</v>
      </c>
    </row>
    <row r="1182" spans="1:3" x14ac:dyDescent="0.25">
      <c r="A1182" s="4" t="s">
        <v>150</v>
      </c>
      <c r="B1182" s="1" t="s">
        <v>1</v>
      </c>
      <c r="C1182" s="2" t="s">
        <v>650</v>
      </c>
    </row>
    <row r="1183" spans="1:3" x14ac:dyDescent="0.25">
      <c r="A1183" s="4" t="s">
        <v>149</v>
      </c>
      <c r="B1183" s="1" t="s">
        <v>1</v>
      </c>
      <c r="C1183" s="2" t="s">
        <v>651</v>
      </c>
    </row>
    <row r="1184" spans="1:3" x14ac:dyDescent="0.25">
      <c r="A1184" s="4" t="s">
        <v>122</v>
      </c>
      <c r="B1184" s="1" t="s">
        <v>1</v>
      </c>
      <c r="C1184" s="2" t="s">
        <v>765</v>
      </c>
    </row>
    <row r="1185" spans="1:3" x14ac:dyDescent="0.25">
      <c r="A1185" s="4" t="s">
        <v>121</v>
      </c>
      <c r="B1185" s="1" t="s">
        <v>1</v>
      </c>
      <c r="C1185" s="2" t="s">
        <v>764</v>
      </c>
    </row>
    <row r="1186" spans="1:3" x14ac:dyDescent="0.25">
      <c r="A1186" s="4" t="s">
        <v>120</v>
      </c>
      <c r="B1186" s="1" t="s">
        <v>1</v>
      </c>
      <c r="C1186" s="2" t="s">
        <v>629</v>
      </c>
    </row>
    <row r="1187" spans="1:3" x14ac:dyDescent="0.25">
      <c r="A1187" s="4" t="s">
        <v>119</v>
      </c>
      <c r="B1187" s="1" t="s">
        <v>1</v>
      </c>
      <c r="C1187" s="2" t="s">
        <v>591</v>
      </c>
    </row>
    <row r="1189" spans="1:3" s="7" customFormat="1" ht="15.75" x14ac:dyDescent="0.3">
      <c r="A1189" s="5" t="s">
        <v>632</v>
      </c>
      <c r="B1189" s="5"/>
      <c r="C1189" s="6"/>
    </row>
    <row r="1190" spans="1:3" x14ac:dyDescent="0.25">
      <c r="A1190" s="4" t="s">
        <v>267</v>
      </c>
      <c r="B1190" s="1" t="s">
        <v>1</v>
      </c>
      <c r="C1190" s="2" t="s">
        <v>633</v>
      </c>
    </row>
    <row r="1191" spans="1:3" x14ac:dyDescent="0.25">
      <c r="A1191" s="4" t="s">
        <v>156</v>
      </c>
      <c r="B1191" s="1" t="s">
        <v>1</v>
      </c>
      <c r="C1191" s="2" t="s">
        <v>195</v>
      </c>
    </row>
    <row r="1192" spans="1:3" x14ac:dyDescent="0.25">
      <c r="A1192" s="4" t="s">
        <v>154</v>
      </c>
      <c r="B1192" s="1" t="s">
        <v>1</v>
      </c>
      <c r="C1192" s="2">
        <v>4</v>
      </c>
    </row>
    <row r="1193" spans="1:3" x14ac:dyDescent="0.25">
      <c r="A1193" s="4" t="s">
        <v>153</v>
      </c>
      <c r="B1193" s="1" t="s">
        <v>1</v>
      </c>
      <c r="C1193" s="2">
        <v>4</v>
      </c>
    </row>
    <row r="1194" spans="1:3" x14ac:dyDescent="0.25">
      <c r="A1194" s="4" t="s">
        <v>152</v>
      </c>
      <c r="B1194" s="1" t="s">
        <v>1</v>
      </c>
      <c r="C1194" s="2" t="s">
        <v>652</v>
      </c>
    </row>
    <row r="1195" spans="1:3" x14ac:dyDescent="0.25">
      <c r="A1195" s="4" t="s">
        <v>151</v>
      </c>
      <c r="B1195" s="1" t="s">
        <v>1</v>
      </c>
      <c r="C1195" s="2" t="s">
        <v>628</v>
      </c>
    </row>
    <row r="1196" spans="1:3" x14ac:dyDescent="0.25">
      <c r="A1196" s="4" t="s">
        <v>150</v>
      </c>
      <c r="B1196" s="1" t="s">
        <v>1</v>
      </c>
      <c r="C1196" s="2" t="s">
        <v>650</v>
      </c>
    </row>
    <row r="1197" spans="1:3" x14ac:dyDescent="0.25">
      <c r="A1197" s="4" t="s">
        <v>149</v>
      </c>
      <c r="B1197" s="1" t="s">
        <v>1</v>
      </c>
      <c r="C1197" s="2" t="s">
        <v>651</v>
      </c>
    </row>
    <row r="1198" spans="1:3" x14ac:dyDescent="0.25">
      <c r="A1198" s="4" t="s">
        <v>122</v>
      </c>
      <c r="B1198" s="1" t="s">
        <v>1</v>
      </c>
      <c r="C1198" s="2" t="s">
        <v>765</v>
      </c>
    </row>
    <row r="1199" spans="1:3" x14ac:dyDescent="0.25">
      <c r="A1199" s="4" t="s">
        <v>121</v>
      </c>
      <c r="B1199" s="1" t="s">
        <v>1</v>
      </c>
      <c r="C1199" s="2" t="s">
        <v>764</v>
      </c>
    </row>
    <row r="1200" spans="1:3" x14ac:dyDescent="0.25">
      <c r="A1200" s="4" t="s">
        <v>120</v>
      </c>
      <c r="B1200" s="1" t="s">
        <v>1</v>
      </c>
      <c r="C1200" s="2" t="s">
        <v>629</v>
      </c>
    </row>
    <row r="1201" spans="1:3" x14ac:dyDescent="0.25">
      <c r="A1201" s="4" t="s">
        <v>119</v>
      </c>
      <c r="B1201" s="1" t="s">
        <v>1</v>
      </c>
      <c r="C1201" s="2" t="s">
        <v>591</v>
      </c>
    </row>
    <row r="1203" spans="1:3" s="7" customFormat="1" ht="15.75" x14ac:dyDescent="0.3">
      <c r="A1203" s="5" t="s">
        <v>634</v>
      </c>
      <c r="B1203" s="5"/>
      <c r="C1203" s="6"/>
    </row>
    <row r="1204" spans="1:3" x14ac:dyDescent="0.25">
      <c r="A1204" s="4" t="s">
        <v>156</v>
      </c>
      <c r="B1204" s="1" t="s">
        <v>1</v>
      </c>
      <c r="C1204" s="2" t="s">
        <v>195</v>
      </c>
    </row>
    <row r="1205" spans="1:3" x14ac:dyDescent="0.25">
      <c r="A1205" s="4" t="s">
        <v>154</v>
      </c>
      <c r="B1205" s="1" t="s">
        <v>1</v>
      </c>
      <c r="C1205" s="2">
        <v>4</v>
      </c>
    </row>
    <row r="1206" spans="1:3" x14ac:dyDescent="0.25">
      <c r="A1206" s="4" t="s">
        <v>153</v>
      </c>
      <c r="B1206" s="1" t="s">
        <v>1</v>
      </c>
      <c r="C1206" s="2">
        <v>4</v>
      </c>
    </row>
    <row r="1207" spans="1:3" x14ac:dyDescent="0.25">
      <c r="A1207" s="4" t="s">
        <v>152</v>
      </c>
      <c r="B1207" s="1" t="s">
        <v>1</v>
      </c>
      <c r="C1207" s="2" t="s">
        <v>652</v>
      </c>
    </row>
    <row r="1208" spans="1:3" x14ac:dyDescent="0.25">
      <c r="A1208" s="4" t="s">
        <v>151</v>
      </c>
      <c r="B1208" s="1" t="s">
        <v>1</v>
      </c>
      <c r="C1208" s="2" t="s">
        <v>560</v>
      </c>
    </row>
    <row r="1209" spans="1:3" x14ac:dyDescent="0.25">
      <c r="A1209" s="4" t="s">
        <v>150</v>
      </c>
      <c r="B1209" s="1" t="s">
        <v>1</v>
      </c>
      <c r="C1209" s="2" t="s">
        <v>650</v>
      </c>
    </row>
    <row r="1210" spans="1:3" x14ac:dyDescent="0.25">
      <c r="A1210" s="4" t="s">
        <v>149</v>
      </c>
      <c r="B1210" s="1" t="s">
        <v>1</v>
      </c>
      <c r="C1210" s="2" t="s">
        <v>651</v>
      </c>
    </row>
    <row r="1211" spans="1:3" x14ac:dyDescent="0.25">
      <c r="A1211" s="4" t="s">
        <v>122</v>
      </c>
      <c r="B1211" s="1" t="s">
        <v>1</v>
      </c>
      <c r="C1211" s="2" t="s">
        <v>765</v>
      </c>
    </row>
    <row r="1212" spans="1:3" x14ac:dyDescent="0.25">
      <c r="A1212" s="4" t="s">
        <v>121</v>
      </c>
      <c r="B1212" s="1" t="s">
        <v>1</v>
      </c>
      <c r="C1212" s="2" t="s">
        <v>572</v>
      </c>
    </row>
    <row r="1213" spans="1:3" x14ac:dyDescent="0.25">
      <c r="A1213" s="4" t="s">
        <v>120</v>
      </c>
      <c r="B1213" s="1" t="s">
        <v>1</v>
      </c>
      <c r="C1213" s="2" t="s">
        <v>629</v>
      </c>
    </row>
    <row r="1214" spans="1:3" x14ac:dyDescent="0.25">
      <c r="A1214" s="4" t="s">
        <v>119</v>
      </c>
      <c r="B1214" s="1" t="s">
        <v>1</v>
      </c>
      <c r="C1214" s="2" t="s">
        <v>591</v>
      </c>
    </row>
    <row r="1216" spans="1:3" s="7" customFormat="1" ht="15.75" x14ac:dyDescent="0.3">
      <c r="A1216" s="5" t="s">
        <v>692</v>
      </c>
      <c r="B1216" s="5"/>
      <c r="C1216" s="6"/>
    </row>
    <row r="1217" spans="1:3" x14ac:dyDescent="0.25">
      <c r="A1217" s="4" t="s">
        <v>156</v>
      </c>
      <c r="B1217" s="1" t="s">
        <v>1</v>
      </c>
      <c r="C1217" s="2" t="s">
        <v>683</v>
      </c>
    </row>
    <row r="1218" spans="1:3" x14ac:dyDescent="0.25">
      <c r="A1218" s="4" t="s">
        <v>154</v>
      </c>
      <c r="B1218" s="1" t="s">
        <v>1</v>
      </c>
      <c r="C1218" s="2">
        <v>0</v>
      </c>
    </row>
    <row r="1219" spans="1:3" x14ac:dyDescent="0.25">
      <c r="A1219" s="4" t="s">
        <v>153</v>
      </c>
      <c r="B1219" s="1" t="s">
        <v>1</v>
      </c>
      <c r="C1219" s="9">
        <f>COUNTA(A1220)</f>
        <v>0</v>
      </c>
    </row>
    <row r="1221" spans="1:3" s="7" customFormat="1" ht="15.75" x14ac:dyDescent="0.3">
      <c r="A1221" s="5" t="s">
        <v>693</v>
      </c>
      <c r="B1221" s="5"/>
      <c r="C1221" s="6"/>
    </row>
    <row r="1222" spans="1:3" x14ac:dyDescent="0.25">
      <c r="A1222" s="4" t="s">
        <v>156</v>
      </c>
      <c r="B1222" s="1" t="s">
        <v>1</v>
      </c>
      <c r="C1222" s="2" t="s">
        <v>195</v>
      </c>
    </row>
    <row r="1223" spans="1:3" x14ac:dyDescent="0.25">
      <c r="A1223" s="4" t="s">
        <v>154</v>
      </c>
      <c r="B1223" s="1" t="s">
        <v>1</v>
      </c>
      <c r="C1223" s="2">
        <v>3</v>
      </c>
    </row>
    <row r="1224" spans="1:3" x14ac:dyDescent="0.25">
      <c r="A1224" s="4" t="s">
        <v>153</v>
      </c>
      <c r="B1224" s="1" t="s">
        <v>1</v>
      </c>
      <c r="C1224" s="9">
        <f>COUNTA(A1227:A1229)</f>
        <v>2</v>
      </c>
    </row>
    <row r="1225" spans="1:3" x14ac:dyDescent="0.25">
      <c r="A1225" s="4" t="s">
        <v>152</v>
      </c>
      <c r="B1225" s="1" t="s">
        <v>1</v>
      </c>
      <c r="C1225" s="2" t="s">
        <v>689</v>
      </c>
    </row>
    <row r="1226" spans="1:3" x14ac:dyDescent="0.25">
      <c r="A1226" s="4" t="s">
        <v>151</v>
      </c>
      <c r="B1226" s="1" t="s">
        <v>1</v>
      </c>
      <c r="C1226" s="2" t="s">
        <v>690</v>
      </c>
    </row>
    <row r="1227" spans="1:3" x14ac:dyDescent="0.25">
      <c r="A1227" s="4" t="s">
        <v>122</v>
      </c>
      <c r="B1227" s="1" t="s">
        <v>1</v>
      </c>
      <c r="C1227" s="2" t="s">
        <v>886</v>
      </c>
    </row>
    <row r="1228" spans="1:3" x14ac:dyDescent="0.25">
      <c r="A1228" s="4" t="s">
        <v>121</v>
      </c>
      <c r="B1228" s="1" t="s">
        <v>1</v>
      </c>
      <c r="C1228" s="2" t="s">
        <v>884</v>
      </c>
    </row>
    <row r="1230" spans="1:3" s="7" customFormat="1" ht="15.75" x14ac:dyDescent="0.3">
      <c r="A1230" s="5" t="s">
        <v>694</v>
      </c>
      <c r="B1230" s="5"/>
      <c r="C1230" s="6"/>
    </row>
    <row r="1231" spans="1:3" x14ac:dyDescent="0.25">
      <c r="A1231" s="4" t="s">
        <v>156</v>
      </c>
      <c r="B1231" s="1" t="s">
        <v>1</v>
      </c>
      <c r="C1231" s="2" t="s">
        <v>195</v>
      </c>
    </row>
    <row r="1232" spans="1:3" x14ac:dyDescent="0.25">
      <c r="A1232" s="4" t="s">
        <v>154</v>
      </c>
      <c r="B1232" s="1" t="s">
        <v>1</v>
      </c>
      <c r="C1232" s="2">
        <v>0</v>
      </c>
    </row>
    <row r="1233" spans="1:3" x14ac:dyDescent="0.25">
      <c r="A1233" s="4" t="s">
        <v>153</v>
      </c>
      <c r="B1233" s="1" t="s">
        <v>1</v>
      </c>
      <c r="C1233" s="9">
        <f>COUNTA(A1235:A1236)</f>
        <v>1</v>
      </c>
    </row>
    <row r="1234" spans="1:3" x14ac:dyDescent="0.25">
      <c r="A1234" s="4" t="s">
        <v>152</v>
      </c>
      <c r="B1234" s="1" t="s">
        <v>1</v>
      </c>
      <c r="C1234" s="2" t="s">
        <v>730</v>
      </c>
    </row>
    <row r="1235" spans="1:3" x14ac:dyDescent="0.25">
      <c r="A1235" s="4" t="s">
        <v>122</v>
      </c>
      <c r="B1235" s="1" t="s">
        <v>1</v>
      </c>
      <c r="C1235" s="2" t="s">
        <v>885</v>
      </c>
    </row>
    <row r="1237" spans="1:3" s="7" customFormat="1" ht="15.75" x14ac:dyDescent="0.3">
      <c r="A1237" s="5" t="s">
        <v>728</v>
      </c>
      <c r="B1237" s="5"/>
      <c r="C1237" s="6"/>
    </row>
    <row r="1238" spans="1:3" x14ac:dyDescent="0.25">
      <c r="A1238" s="4" t="s">
        <v>156</v>
      </c>
      <c r="B1238" s="1" t="s">
        <v>1</v>
      </c>
      <c r="C1238" s="2" t="s">
        <v>195</v>
      </c>
    </row>
    <row r="1239" spans="1:3" x14ac:dyDescent="0.25">
      <c r="A1239" s="4" t="s">
        <v>154</v>
      </c>
      <c r="B1239" s="1" t="s">
        <v>1</v>
      </c>
      <c r="C1239" s="2">
        <v>2</v>
      </c>
    </row>
    <row r="1240" spans="1:3" x14ac:dyDescent="0.25">
      <c r="A1240" s="4" t="s">
        <v>153</v>
      </c>
      <c r="B1240" s="1" t="s">
        <v>1</v>
      </c>
      <c r="C1240" s="9">
        <f>COUNTA(A1242:A1243)</f>
        <v>1</v>
      </c>
    </row>
    <row r="1241" spans="1:3" x14ac:dyDescent="0.25">
      <c r="A1241" s="4" t="s">
        <v>152</v>
      </c>
      <c r="B1241" s="1" t="s">
        <v>1</v>
      </c>
      <c r="C1241" s="2" t="s">
        <v>727</v>
      </c>
    </row>
    <row r="1242" spans="1:3" x14ac:dyDescent="0.25">
      <c r="A1242" s="4" t="s">
        <v>122</v>
      </c>
      <c r="B1242" s="1" t="s">
        <v>1</v>
      </c>
      <c r="C1242" s="2" t="s">
        <v>726</v>
      </c>
    </row>
    <row r="1244" spans="1:3" s="7" customFormat="1" ht="15.75" x14ac:dyDescent="0.3">
      <c r="A1244" s="5" t="s">
        <v>659</v>
      </c>
      <c r="B1244" s="5"/>
      <c r="C1244" s="6"/>
    </row>
    <row r="1245" spans="1:3" x14ac:dyDescent="0.25">
      <c r="A1245" s="4" t="s">
        <v>156</v>
      </c>
      <c r="B1245" s="1" t="s">
        <v>1</v>
      </c>
      <c r="C1245" s="2" t="s">
        <v>195</v>
      </c>
    </row>
    <row r="1246" spans="1:3" x14ac:dyDescent="0.25">
      <c r="A1246" s="4" t="s">
        <v>154</v>
      </c>
      <c r="B1246" s="1" t="s">
        <v>1</v>
      </c>
      <c r="C1246" s="2">
        <v>5</v>
      </c>
    </row>
    <row r="1247" spans="1:3" x14ac:dyDescent="0.25">
      <c r="A1247" s="4" t="s">
        <v>153</v>
      </c>
      <c r="B1247" s="1" t="s">
        <v>1</v>
      </c>
      <c r="C1247" s="9">
        <f>COUNTA(A1253:A1258)</f>
        <v>5</v>
      </c>
    </row>
    <row r="1248" spans="1:3" x14ac:dyDescent="0.25">
      <c r="A1248" s="4" t="s">
        <v>152</v>
      </c>
      <c r="B1248" s="1" t="s">
        <v>1</v>
      </c>
      <c r="C1248" s="2" t="s">
        <v>686</v>
      </c>
    </row>
    <row r="1249" spans="1:3" x14ac:dyDescent="0.25">
      <c r="A1249" s="4" t="s">
        <v>151</v>
      </c>
      <c r="B1249" s="1" t="s">
        <v>1</v>
      </c>
      <c r="C1249" s="2" t="s">
        <v>687</v>
      </c>
    </row>
    <row r="1250" spans="1:3" x14ac:dyDescent="0.25">
      <c r="A1250" s="4" t="s">
        <v>150</v>
      </c>
      <c r="B1250" s="1" t="s">
        <v>1</v>
      </c>
      <c r="C1250" s="2" t="s">
        <v>691</v>
      </c>
    </row>
    <row r="1251" spans="1:3" x14ac:dyDescent="0.25">
      <c r="A1251" s="4" t="s">
        <v>149</v>
      </c>
      <c r="B1251" s="1" t="s">
        <v>1</v>
      </c>
      <c r="C1251" s="2" t="s">
        <v>658</v>
      </c>
    </row>
    <row r="1252" spans="1:3" x14ac:dyDescent="0.25">
      <c r="A1252" s="4" t="s">
        <v>148</v>
      </c>
      <c r="B1252" s="1" t="s">
        <v>1</v>
      </c>
      <c r="C1252" s="2" t="s">
        <v>688</v>
      </c>
    </row>
    <row r="1253" spans="1:3" x14ac:dyDescent="0.25">
      <c r="A1253" s="4" t="s">
        <v>122</v>
      </c>
      <c r="B1253" s="1" t="s">
        <v>1</v>
      </c>
      <c r="C1253" s="2" t="s">
        <v>876</v>
      </c>
    </row>
    <row r="1254" spans="1:3" x14ac:dyDescent="0.25">
      <c r="A1254" s="4" t="s">
        <v>121</v>
      </c>
      <c r="B1254" s="1" t="s">
        <v>1</v>
      </c>
      <c r="C1254" s="2" t="s">
        <v>874</v>
      </c>
    </row>
    <row r="1255" spans="1:3" x14ac:dyDescent="0.25">
      <c r="A1255" s="4" t="s">
        <v>120</v>
      </c>
      <c r="B1255" s="1" t="s">
        <v>1</v>
      </c>
      <c r="C1255" s="2" t="s">
        <v>684</v>
      </c>
    </row>
    <row r="1256" spans="1:3" x14ac:dyDescent="0.25">
      <c r="A1256" s="4" t="s">
        <v>119</v>
      </c>
      <c r="B1256" s="1" t="s">
        <v>1</v>
      </c>
      <c r="C1256" s="2" t="s">
        <v>685</v>
      </c>
    </row>
    <row r="1257" spans="1:3" x14ac:dyDescent="0.25">
      <c r="A1257" s="4" t="s">
        <v>118</v>
      </c>
      <c r="B1257" s="1" t="s">
        <v>1</v>
      </c>
      <c r="C1257" s="2" t="s">
        <v>657</v>
      </c>
    </row>
    <row r="1259" spans="1:3" s="7" customFormat="1" ht="15.75" x14ac:dyDescent="0.3">
      <c r="A1259" s="5" t="s">
        <v>729</v>
      </c>
      <c r="B1259" s="5"/>
      <c r="C1259" s="6"/>
    </row>
    <row r="1260" spans="1:3" x14ac:dyDescent="0.25">
      <c r="A1260" s="4" t="s">
        <v>156</v>
      </c>
      <c r="B1260" s="1" t="s">
        <v>1</v>
      </c>
      <c r="C1260" s="2" t="s">
        <v>695</v>
      </c>
    </row>
    <row r="1261" spans="1:3" x14ac:dyDescent="0.25">
      <c r="A1261" s="4" t="s">
        <v>154</v>
      </c>
      <c r="B1261" s="1" t="s">
        <v>1</v>
      </c>
      <c r="C1261" s="2">
        <v>9</v>
      </c>
    </row>
    <row r="1262" spans="1:3" x14ac:dyDescent="0.25">
      <c r="A1262" s="4" t="s">
        <v>153</v>
      </c>
      <c r="B1262" s="1" t="s">
        <v>1</v>
      </c>
      <c r="C1262" s="9">
        <f>COUNTA(A1284:A1305)</f>
        <v>21</v>
      </c>
    </row>
    <row r="1263" spans="1:3" x14ac:dyDescent="0.25">
      <c r="A1263" s="4" t="s">
        <v>152</v>
      </c>
      <c r="B1263" s="1" t="s">
        <v>1</v>
      </c>
      <c r="C1263" s="2" t="s">
        <v>195</v>
      </c>
    </row>
    <row r="1264" spans="1:3" x14ac:dyDescent="0.25">
      <c r="A1264" s="4" t="s">
        <v>151</v>
      </c>
      <c r="B1264" s="1" t="s">
        <v>1</v>
      </c>
      <c r="C1264" s="2" t="s">
        <v>195</v>
      </c>
    </row>
    <row r="1265" spans="1:3" x14ac:dyDescent="0.25">
      <c r="A1265" s="4" t="s">
        <v>150</v>
      </c>
      <c r="B1265" s="1" t="s">
        <v>1</v>
      </c>
      <c r="C1265" s="2" t="s">
        <v>708</v>
      </c>
    </row>
    <row r="1266" spans="1:3" x14ac:dyDescent="0.25">
      <c r="A1266" s="4" t="s">
        <v>149</v>
      </c>
      <c r="B1266" s="1" t="s">
        <v>1</v>
      </c>
      <c r="C1266" s="2" t="s">
        <v>709</v>
      </c>
    </row>
    <row r="1267" spans="1:3" x14ac:dyDescent="0.25">
      <c r="A1267" s="4" t="s">
        <v>148</v>
      </c>
      <c r="B1267" s="1" t="s">
        <v>1</v>
      </c>
      <c r="C1267" s="2" t="s">
        <v>710</v>
      </c>
    </row>
    <row r="1268" spans="1:3" x14ac:dyDescent="0.25">
      <c r="A1268" s="4" t="s">
        <v>147</v>
      </c>
      <c r="B1268" s="1" t="s">
        <v>1</v>
      </c>
      <c r="C1268" s="2" t="s">
        <v>711</v>
      </c>
    </row>
    <row r="1269" spans="1:3" x14ac:dyDescent="0.25">
      <c r="A1269" s="4" t="s">
        <v>146</v>
      </c>
      <c r="B1269" s="1" t="s">
        <v>1</v>
      </c>
      <c r="C1269" s="2" t="s">
        <v>712</v>
      </c>
    </row>
    <row r="1270" spans="1:3" x14ac:dyDescent="0.25">
      <c r="A1270" s="4" t="s">
        <v>145</v>
      </c>
      <c r="B1270" s="1" t="s">
        <v>1</v>
      </c>
      <c r="C1270" s="2" t="s">
        <v>713</v>
      </c>
    </row>
    <row r="1271" spans="1:3" x14ac:dyDescent="0.25">
      <c r="A1271" s="4" t="s">
        <v>144</v>
      </c>
      <c r="B1271" s="1" t="s">
        <v>1</v>
      </c>
      <c r="C1271" s="2" t="s">
        <v>715</v>
      </c>
    </row>
    <row r="1272" spans="1:3" x14ac:dyDescent="0.25">
      <c r="A1272" s="4" t="s">
        <v>143</v>
      </c>
      <c r="B1272" s="1" t="s">
        <v>1</v>
      </c>
      <c r="C1272" s="2" t="s">
        <v>714</v>
      </c>
    </row>
    <row r="1273" spans="1:3" x14ac:dyDescent="0.25">
      <c r="A1273" s="4" t="s">
        <v>142</v>
      </c>
      <c r="B1273" s="1" t="s">
        <v>1</v>
      </c>
      <c r="C1273" s="2" t="s">
        <v>716</v>
      </c>
    </row>
    <row r="1274" spans="1:3" x14ac:dyDescent="0.25">
      <c r="A1274" s="4" t="s">
        <v>141</v>
      </c>
      <c r="B1274" s="1" t="s">
        <v>1</v>
      </c>
      <c r="C1274" s="2" t="s">
        <v>717</v>
      </c>
    </row>
    <row r="1275" spans="1:3" x14ac:dyDescent="0.25">
      <c r="A1275" s="4" t="s">
        <v>140</v>
      </c>
      <c r="B1275" s="1" t="s">
        <v>1</v>
      </c>
      <c r="C1275" s="2" t="s">
        <v>718</v>
      </c>
    </row>
    <row r="1276" spans="1:3" x14ac:dyDescent="0.25">
      <c r="A1276" s="4" t="s">
        <v>139</v>
      </c>
      <c r="B1276" s="1" t="s">
        <v>1</v>
      </c>
      <c r="C1276" s="2" t="s">
        <v>719</v>
      </c>
    </row>
    <row r="1277" spans="1:3" x14ac:dyDescent="0.25">
      <c r="A1277" s="4" t="s">
        <v>138</v>
      </c>
      <c r="B1277" s="1" t="s">
        <v>1</v>
      </c>
      <c r="C1277" s="2" t="s">
        <v>720</v>
      </c>
    </row>
    <row r="1278" spans="1:3" x14ac:dyDescent="0.25">
      <c r="A1278" s="4" t="s">
        <v>137</v>
      </c>
      <c r="B1278" s="1" t="s">
        <v>1</v>
      </c>
      <c r="C1278" s="2" t="s">
        <v>721</v>
      </c>
    </row>
    <row r="1279" spans="1:3" x14ac:dyDescent="0.25">
      <c r="A1279" s="4" t="s">
        <v>136</v>
      </c>
      <c r="B1279" s="1" t="s">
        <v>1</v>
      </c>
      <c r="C1279" s="2" t="s">
        <v>722</v>
      </c>
    </row>
    <row r="1280" spans="1:3" x14ac:dyDescent="0.25">
      <c r="A1280" s="4" t="s">
        <v>135</v>
      </c>
      <c r="B1280" s="1" t="s">
        <v>1</v>
      </c>
      <c r="C1280" s="2" t="s">
        <v>723</v>
      </c>
    </row>
    <row r="1281" spans="1:3" x14ac:dyDescent="0.25">
      <c r="A1281" s="4" t="s">
        <v>134</v>
      </c>
      <c r="B1281" s="1" t="s">
        <v>1</v>
      </c>
      <c r="C1281" s="2" t="s">
        <v>724</v>
      </c>
    </row>
    <row r="1282" spans="1:3" x14ac:dyDescent="0.25">
      <c r="A1282" s="4" t="s">
        <v>133</v>
      </c>
      <c r="B1282" s="1" t="s">
        <v>1</v>
      </c>
      <c r="C1282" s="2" t="s">
        <v>725</v>
      </c>
    </row>
    <row r="1283" spans="1:3" x14ac:dyDescent="0.25">
      <c r="A1283" s="4" t="s">
        <v>132</v>
      </c>
      <c r="B1283" s="1" t="s">
        <v>1</v>
      </c>
      <c r="C1283" s="2" t="s">
        <v>707</v>
      </c>
    </row>
    <row r="1284" spans="1:3" x14ac:dyDescent="0.25">
      <c r="A1284" s="4" t="s">
        <v>122</v>
      </c>
      <c r="B1284" s="1" t="s">
        <v>1</v>
      </c>
      <c r="C1284" s="2" t="s">
        <v>696</v>
      </c>
    </row>
    <row r="1285" spans="1:3" ht="15.75" x14ac:dyDescent="0.3">
      <c r="A1285" s="4" t="s">
        <v>121</v>
      </c>
      <c r="B1285" s="1" t="s">
        <v>1</v>
      </c>
      <c r="C1285" s="2" t="s">
        <v>697</v>
      </c>
    </row>
    <row r="1286" spans="1:3" x14ac:dyDescent="0.25">
      <c r="A1286" s="4" t="s">
        <v>120</v>
      </c>
      <c r="B1286" s="1" t="s">
        <v>1</v>
      </c>
      <c r="C1286" s="2" t="s">
        <v>847</v>
      </c>
    </row>
    <row r="1287" spans="1:3" x14ac:dyDescent="0.25">
      <c r="A1287" s="4" t="s">
        <v>119</v>
      </c>
      <c r="B1287" s="1" t="s">
        <v>1</v>
      </c>
      <c r="C1287" s="2" t="s">
        <v>698</v>
      </c>
    </row>
    <row r="1288" spans="1:3" x14ac:dyDescent="0.25">
      <c r="A1288" s="4" t="s">
        <v>118</v>
      </c>
      <c r="B1288" s="1" t="s">
        <v>1</v>
      </c>
      <c r="C1288" s="2" t="s">
        <v>879</v>
      </c>
    </row>
    <row r="1289" spans="1:3" x14ac:dyDescent="0.25">
      <c r="A1289" s="4" t="s">
        <v>117</v>
      </c>
      <c r="B1289" s="1" t="s">
        <v>1</v>
      </c>
      <c r="C1289" s="2" t="s">
        <v>699</v>
      </c>
    </row>
    <row r="1290" spans="1:3" x14ac:dyDescent="0.25">
      <c r="A1290" s="4" t="s">
        <v>116</v>
      </c>
      <c r="B1290" s="1" t="s">
        <v>1</v>
      </c>
      <c r="C1290" s="2" t="s">
        <v>844</v>
      </c>
    </row>
    <row r="1291" spans="1:3" x14ac:dyDescent="0.25">
      <c r="A1291" s="4" t="s">
        <v>115</v>
      </c>
      <c r="B1291" s="1" t="s">
        <v>1</v>
      </c>
      <c r="C1291" s="2" t="s">
        <v>700</v>
      </c>
    </row>
    <row r="1292" spans="1:3" x14ac:dyDescent="0.25">
      <c r="A1292" s="4" t="s">
        <v>114</v>
      </c>
      <c r="B1292" s="1" t="s">
        <v>1</v>
      </c>
      <c r="C1292" s="2" t="s">
        <v>878</v>
      </c>
    </row>
    <row r="1293" spans="1:3" x14ac:dyDescent="0.25">
      <c r="A1293" s="4" t="s">
        <v>113</v>
      </c>
      <c r="B1293" s="1" t="s">
        <v>1</v>
      </c>
      <c r="C1293" s="2" t="s">
        <v>701</v>
      </c>
    </row>
    <row r="1294" spans="1:3" x14ac:dyDescent="0.25">
      <c r="A1294" s="4" t="s">
        <v>112</v>
      </c>
      <c r="B1294" s="1" t="s">
        <v>1</v>
      </c>
      <c r="C1294" s="2" t="s">
        <v>702</v>
      </c>
    </row>
    <row r="1295" spans="1:3" x14ac:dyDescent="0.25">
      <c r="A1295" s="4" t="s">
        <v>111</v>
      </c>
      <c r="B1295" s="1" t="s">
        <v>1</v>
      </c>
      <c r="C1295" s="2" t="s">
        <v>877</v>
      </c>
    </row>
    <row r="1296" spans="1:3" x14ac:dyDescent="0.25">
      <c r="A1296" s="4" t="s">
        <v>110</v>
      </c>
      <c r="B1296" s="1" t="s">
        <v>1</v>
      </c>
      <c r="C1296" s="2" t="s">
        <v>265</v>
      </c>
    </row>
    <row r="1297" spans="1:3" x14ac:dyDescent="0.25">
      <c r="A1297" s="4" t="s">
        <v>109</v>
      </c>
      <c r="B1297" s="1" t="s">
        <v>1</v>
      </c>
      <c r="C1297" s="2" t="s">
        <v>703</v>
      </c>
    </row>
    <row r="1298" spans="1:3" x14ac:dyDescent="0.25">
      <c r="A1298" s="4" t="s">
        <v>108</v>
      </c>
      <c r="B1298" s="1" t="s">
        <v>1</v>
      </c>
      <c r="C1298" s="2" t="s">
        <v>704</v>
      </c>
    </row>
    <row r="1299" spans="1:3" x14ac:dyDescent="0.25">
      <c r="A1299" s="4" t="s">
        <v>107</v>
      </c>
      <c r="B1299" s="1" t="s">
        <v>1</v>
      </c>
      <c r="C1299" s="2" t="s">
        <v>951</v>
      </c>
    </row>
    <row r="1300" spans="1:3" x14ac:dyDescent="0.25">
      <c r="A1300" s="4" t="s">
        <v>106</v>
      </c>
      <c r="B1300" s="1" t="s">
        <v>1</v>
      </c>
      <c r="C1300" s="2" t="s">
        <v>952</v>
      </c>
    </row>
    <row r="1301" spans="1:3" x14ac:dyDescent="0.25">
      <c r="A1301" s="4" t="s">
        <v>105</v>
      </c>
      <c r="B1301" s="1" t="s">
        <v>1</v>
      </c>
      <c r="C1301" s="2" t="s">
        <v>705</v>
      </c>
    </row>
    <row r="1302" spans="1:3" x14ac:dyDescent="0.25">
      <c r="A1302" s="4" t="s">
        <v>104</v>
      </c>
      <c r="B1302" s="1" t="s">
        <v>1</v>
      </c>
      <c r="C1302" s="2" t="s">
        <v>706</v>
      </c>
    </row>
    <row r="1303" spans="1:3" x14ac:dyDescent="0.25">
      <c r="A1303" s="4" t="s">
        <v>103</v>
      </c>
      <c r="B1303" s="1" t="s">
        <v>1</v>
      </c>
      <c r="C1303" s="2" t="s">
        <v>271</v>
      </c>
    </row>
    <row r="1304" spans="1:3" x14ac:dyDescent="0.25">
      <c r="A1304" s="4" t="s">
        <v>102</v>
      </c>
      <c r="B1304" s="1" t="s">
        <v>1</v>
      </c>
      <c r="C1304" s="2" t="s">
        <v>875</v>
      </c>
    </row>
  </sheetData>
  <phoneticPr fontId="4" type="noConversion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PreText</vt:lpstr>
      <vt:lpstr>add_data_structure_sbsft</vt:lpstr>
      <vt:lpstr>blockset_sbsft_0</vt:lpstr>
      <vt:lpstr>blockset_sbsft_1</vt:lpstr>
      <vt:lpstr>add_data_structure_scscl</vt:lpstr>
      <vt:lpstr>blockset_scscl_0</vt:lpstr>
      <vt:lpstr>add_data_structure_dbsft</vt:lpstr>
      <vt:lpstr>blockset_dbsft_0</vt:lpstr>
      <vt:lpstr>add_data_structure_fscl</vt:lpstr>
      <vt:lpstr>blockset_fscl_0</vt:lpstr>
      <vt:lpstr>ASM_blocks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2020-01-13T13:01:36Z</dcterms:created>
  <dcterms:modified xsi:type="dcterms:W3CDTF">2020-03-27T17:32:02Z</dcterms:modified>
</cp:coreProperties>
</file>